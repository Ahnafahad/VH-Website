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DU FBS Mocks\"/>
    </mc:Choice>
  </mc:AlternateContent>
  <xr:revisionPtr revIDLastSave="0" documentId="13_ncr:1_{7177ECBC-3243-4A33-A99F-7A5D2CBB2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1" l="1"/>
  <c r="V26" i="1" s="1"/>
  <c r="Q26" i="1"/>
  <c r="R26" i="1" s="1"/>
  <c r="M26" i="1"/>
  <c r="N26" i="1" s="1"/>
  <c r="I26" i="1"/>
  <c r="J26" i="1" s="1"/>
  <c r="E26" i="1"/>
  <c r="U25" i="1"/>
  <c r="V25" i="1" s="1"/>
  <c r="Q25" i="1"/>
  <c r="R25" i="1" s="1"/>
  <c r="M25" i="1"/>
  <c r="N25" i="1" s="1"/>
  <c r="I25" i="1"/>
  <c r="J25" i="1" s="1"/>
  <c r="E25" i="1"/>
  <c r="U24" i="1"/>
  <c r="V24" i="1" s="1"/>
  <c r="Q24" i="1"/>
  <c r="R24" i="1" s="1"/>
  <c r="M24" i="1"/>
  <c r="N24" i="1" s="1"/>
  <c r="I24" i="1"/>
  <c r="J24" i="1" s="1"/>
  <c r="E24" i="1"/>
  <c r="F24" i="1" s="1"/>
  <c r="U23" i="1"/>
  <c r="V23" i="1" s="1"/>
  <c r="Q23" i="1"/>
  <c r="R23" i="1" s="1"/>
  <c r="M23" i="1"/>
  <c r="N23" i="1" s="1"/>
  <c r="I23" i="1"/>
  <c r="J23" i="1" s="1"/>
  <c r="E23" i="1"/>
  <c r="W23" i="1" s="1"/>
  <c r="AE23" i="1" s="1"/>
  <c r="AE22" i="1"/>
  <c r="W22" i="1"/>
  <c r="X22" i="1" s="1"/>
  <c r="U22" i="1"/>
  <c r="V22" i="1" s="1"/>
  <c r="Q22" i="1"/>
  <c r="R22" i="1" s="1"/>
  <c r="M22" i="1"/>
  <c r="N22" i="1" s="1"/>
  <c r="I22" i="1"/>
  <c r="J22" i="1" s="1"/>
  <c r="E22" i="1"/>
  <c r="F22" i="1" s="1"/>
  <c r="W21" i="1"/>
  <c r="AE21" i="1" s="1"/>
  <c r="V21" i="1"/>
  <c r="U21" i="1"/>
  <c r="Q21" i="1"/>
  <c r="R21" i="1" s="1"/>
  <c r="M21" i="1"/>
  <c r="N21" i="1" s="1"/>
  <c r="I21" i="1"/>
  <c r="J21" i="1" s="1"/>
  <c r="E21" i="1"/>
  <c r="F21" i="1" s="1"/>
  <c r="U20" i="1"/>
  <c r="W20" i="1" s="1"/>
  <c r="Q20" i="1"/>
  <c r="R20" i="1" s="1"/>
  <c r="M20" i="1"/>
  <c r="N20" i="1" s="1"/>
  <c r="I20" i="1"/>
  <c r="J20" i="1" s="1"/>
  <c r="E20" i="1"/>
  <c r="F20" i="1" s="1"/>
  <c r="U19" i="1"/>
  <c r="V19" i="1" s="1"/>
  <c r="R19" i="1"/>
  <c r="Q19" i="1"/>
  <c r="M19" i="1"/>
  <c r="N19" i="1" s="1"/>
  <c r="I19" i="1"/>
  <c r="J19" i="1" s="1"/>
  <c r="E19" i="1"/>
  <c r="F19" i="1" s="1"/>
  <c r="U18" i="1"/>
  <c r="V18" i="1" s="1"/>
  <c r="Q18" i="1"/>
  <c r="R18" i="1" s="1"/>
  <c r="M18" i="1"/>
  <c r="N18" i="1" s="1"/>
  <c r="I18" i="1"/>
  <c r="J18" i="1" s="1"/>
  <c r="E18" i="1"/>
  <c r="F18" i="1" s="1"/>
  <c r="U17" i="1"/>
  <c r="V17" i="1" s="1"/>
  <c r="Q17" i="1"/>
  <c r="W17" i="1" s="1"/>
  <c r="N17" i="1"/>
  <c r="M17" i="1"/>
  <c r="J17" i="1"/>
  <c r="I17" i="1"/>
  <c r="E17" i="1"/>
  <c r="F17" i="1" s="1"/>
  <c r="U16" i="1"/>
  <c r="V16" i="1" s="1"/>
  <c r="Q16" i="1"/>
  <c r="R16" i="1" s="1"/>
  <c r="M16" i="1"/>
  <c r="W16" i="1" s="1"/>
  <c r="I16" i="1"/>
  <c r="J16" i="1" s="1"/>
  <c r="E16" i="1"/>
  <c r="F16" i="1" s="1"/>
  <c r="U15" i="1"/>
  <c r="V15" i="1" s="1"/>
  <c r="Q15" i="1"/>
  <c r="R15" i="1" s="1"/>
  <c r="M15" i="1"/>
  <c r="W15" i="1" s="1"/>
  <c r="J15" i="1"/>
  <c r="I15" i="1"/>
  <c r="F15" i="1"/>
  <c r="E15" i="1"/>
  <c r="U14" i="1"/>
  <c r="V14" i="1" s="1"/>
  <c r="Q14" i="1"/>
  <c r="R14" i="1" s="1"/>
  <c r="M14" i="1"/>
  <c r="N14" i="1" s="1"/>
  <c r="I14" i="1"/>
  <c r="W14" i="1" s="1"/>
  <c r="E14" i="1"/>
  <c r="F14" i="1" s="1"/>
  <c r="U13" i="1"/>
  <c r="V13" i="1" s="1"/>
  <c r="Q13" i="1"/>
  <c r="R13" i="1" s="1"/>
  <c r="M13" i="1"/>
  <c r="N13" i="1" s="1"/>
  <c r="I13" i="1"/>
  <c r="W13" i="1" s="1"/>
  <c r="F13" i="1"/>
  <c r="E13" i="1"/>
  <c r="U12" i="1"/>
  <c r="V12" i="1" s="1"/>
  <c r="Q12" i="1"/>
  <c r="R12" i="1" s="1"/>
  <c r="M12" i="1"/>
  <c r="N12" i="1" s="1"/>
  <c r="J12" i="1"/>
  <c r="I12" i="1"/>
  <c r="F12" i="1"/>
  <c r="E12" i="1"/>
  <c r="W12" i="1" s="1"/>
  <c r="U11" i="1"/>
  <c r="V11" i="1" s="1"/>
  <c r="Q11" i="1"/>
  <c r="R11" i="1" s="1"/>
  <c r="M11" i="1"/>
  <c r="N11" i="1" s="1"/>
  <c r="I11" i="1"/>
  <c r="J11" i="1" s="1"/>
  <c r="E11" i="1"/>
  <c r="W11" i="1" s="1"/>
  <c r="U10" i="1"/>
  <c r="V10" i="1" s="1"/>
  <c r="Q10" i="1"/>
  <c r="R10" i="1" s="1"/>
  <c r="M10" i="1"/>
  <c r="N10" i="1" s="1"/>
  <c r="I10" i="1"/>
  <c r="J10" i="1" s="1"/>
  <c r="E10" i="1"/>
  <c r="W10" i="1" s="1"/>
  <c r="U9" i="1"/>
  <c r="V9" i="1" s="1"/>
  <c r="Q9" i="1"/>
  <c r="R9" i="1" s="1"/>
  <c r="M9" i="1"/>
  <c r="N9" i="1" s="1"/>
  <c r="I9" i="1"/>
  <c r="J9" i="1" s="1"/>
  <c r="E9" i="1"/>
  <c r="U8" i="1"/>
  <c r="V8" i="1" s="1"/>
  <c r="Q8" i="1"/>
  <c r="R8" i="1" s="1"/>
  <c r="M8" i="1"/>
  <c r="N8" i="1" s="1"/>
  <c r="I8" i="1"/>
  <c r="J8" i="1" s="1"/>
  <c r="E8" i="1"/>
  <c r="W8" i="1" s="1"/>
  <c r="X8" i="1" s="1"/>
  <c r="V7" i="1"/>
  <c r="U7" i="1"/>
  <c r="Q7" i="1"/>
  <c r="R7" i="1" s="1"/>
  <c r="M7" i="1"/>
  <c r="N7" i="1" s="1"/>
  <c r="I7" i="1"/>
  <c r="J7" i="1" s="1"/>
  <c r="E7" i="1"/>
  <c r="AH6" i="1"/>
  <c r="AE6" i="1"/>
  <c r="X6" i="1"/>
  <c r="V6" i="1"/>
  <c r="U6" i="1"/>
  <c r="Q6" i="1"/>
  <c r="R6" i="1" s="1"/>
  <c r="M6" i="1"/>
  <c r="N6" i="1" s="1"/>
  <c r="I6" i="1"/>
  <c r="J6" i="1" s="1"/>
  <c r="E6" i="1"/>
  <c r="W6" i="1" s="1"/>
  <c r="W5" i="1"/>
  <c r="X5" i="1" s="1"/>
  <c r="U5" i="1"/>
  <c r="V5" i="1" s="1"/>
  <c r="Q5" i="1"/>
  <c r="R5" i="1" s="1"/>
  <c r="M5" i="1"/>
  <c r="N5" i="1" s="1"/>
  <c r="I5" i="1"/>
  <c r="J5" i="1" s="1"/>
  <c r="E5" i="1"/>
  <c r="F5" i="1" s="1"/>
  <c r="W4" i="1"/>
  <c r="AE4" i="1" s="1"/>
  <c r="V4" i="1"/>
  <c r="U4" i="1"/>
  <c r="R4" i="1"/>
  <c r="Q4" i="1"/>
  <c r="M4" i="1"/>
  <c r="N4" i="1" s="1"/>
  <c r="I4" i="1"/>
  <c r="J4" i="1" s="1"/>
  <c r="E4" i="1"/>
  <c r="F4" i="1" s="1"/>
  <c r="U3" i="1"/>
  <c r="V3" i="1" s="1"/>
  <c r="Q3" i="1"/>
  <c r="R3" i="1" s="1"/>
  <c r="M3" i="1"/>
  <c r="N3" i="1" s="1"/>
  <c r="I3" i="1"/>
  <c r="J3" i="1" s="1"/>
  <c r="E3" i="1"/>
  <c r="F3" i="1" s="1"/>
  <c r="W2" i="1"/>
  <c r="U2" i="1"/>
  <c r="V2" i="1" s="1"/>
  <c r="R2" i="1"/>
  <c r="Q2" i="1"/>
  <c r="N2" i="1"/>
  <c r="M2" i="1"/>
  <c r="I2" i="1"/>
  <c r="J2" i="1" s="1"/>
  <c r="E2" i="1"/>
  <c r="F2" i="1" s="1"/>
  <c r="AE20" i="1" l="1"/>
  <c r="X20" i="1"/>
  <c r="X2" i="1"/>
  <c r="AE2" i="1"/>
  <c r="AE10" i="1"/>
  <c r="X10" i="1"/>
  <c r="W3" i="1"/>
  <c r="AE8" i="1"/>
  <c r="N15" i="1"/>
  <c r="W19" i="1"/>
  <c r="F11" i="1"/>
  <c r="F26" i="1"/>
  <c r="W26" i="1"/>
  <c r="AE5" i="1"/>
  <c r="AE14" i="1"/>
  <c r="X14" i="1"/>
  <c r="AE16" i="1"/>
  <c r="X16" i="1"/>
  <c r="AE12" i="1"/>
  <c r="X12" i="1"/>
  <c r="J14" i="1"/>
  <c r="N16" i="1"/>
  <c r="V20" i="1"/>
  <c r="X15" i="1"/>
  <c r="AE15" i="1"/>
  <c r="AE11" i="1"/>
  <c r="X11" i="1"/>
  <c r="F9" i="1"/>
  <c r="W9" i="1"/>
  <c r="X4" i="1"/>
  <c r="F10" i="1"/>
  <c r="F25" i="1"/>
  <c r="W25" i="1"/>
  <c r="AE13" i="1"/>
  <c r="X13" i="1"/>
  <c r="AE17" i="1"/>
  <c r="X17" i="1"/>
  <c r="W7" i="1"/>
  <c r="F7" i="1"/>
  <c r="J13" i="1"/>
  <c r="R17" i="1"/>
  <c r="X21" i="1"/>
  <c r="X23" i="1"/>
  <c r="F8" i="1"/>
  <c r="F6" i="1"/>
  <c r="F23" i="1"/>
  <c r="W24" i="1"/>
  <c r="W18" i="1"/>
  <c r="AE7" i="1" l="1"/>
  <c r="X7" i="1"/>
  <c r="X25" i="1"/>
  <c r="AE25" i="1"/>
  <c r="X24" i="1"/>
  <c r="Y24" i="1" s="1"/>
  <c r="AE24" i="1"/>
  <c r="Y14" i="1"/>
  <c r="X9" i="1"/>
  <c r="AE9" i="1"/>
  <c r="AE26" i="1"/>
  <c r="X26" i="1"/>
  <c r="X19" i="1"/>
  <c r="Y10" i="1" s="1"/>
  <c r="AE19" i="1"/>
  <c r="Y15" i="1"/>
  <c r="AE3" i="1"/>
  <c r="AF8" i="1" s="1"/>
  <c r="X3" i="1"/>
  <c r="Y12" i="1" s="1"/>
  <c r="AE18" i="1"/>
  <c r="X18" i="1"/>
  <c r="Y8" i="1"/>
  <c r="Y5" i="1"/>
  <c r="AF15" i="1" l="1"/>
  <c r="AF24" i="1"/>
  <c r="AF11" i="1"/>
  <c r="Y2" i="1"/>
  <c r="Y11" i="1"/>
  <c r="Y22" i="1"/>
  <c r="Y23" i="1"/>
  <c r="Y25" i="1"/>
  <c r="Y6" i="1"/>
  <c r="AF10" i="1"/>
  <c r="Y26" i="1"/>
  <c r="AF13" i="1"/>
  <c r="AF16" i="1"/>
  <c r="Y18" i="1"/>
  <c r="AF9" i="1"/>
  <c r="Y13" i="1"/>
  <c r="AF18" i="1"/>
  <c r="Y9" i="1"/>
  <c r="AF17" i="1"/>
  <c r="AF2" i="1"/>
  <c r="AF6" i="1"/>
  <c r="Y17" i="1"/>
  <c r="Y16" i="1"/>
  <c r="AF4" i="1"/>
  <c r="Y7" i="1"/>
  <c r="AF12" i="1"/>
  <c r="AF20" i="1"/>
  <c r="AF7" i="1"/>
  <c r="AF14" i="1"/>
  <c r="AF3" i="1"/>
  <c r="AF21" i="1"/>
  <c r="AF22" i="1"/>
  <c r="AF19" i="1"/>
  <c r="Y19" i="1"/>
  <c r="AF25" i="1"/>
  <c r="Y21" i="1"/>
  <c r="AF5" i="1"/>
  <c r="Y4" i="1"/>
  <c r="AF26" i="1"/>
  <c r="Y3" i="1"/>
  <c r="Y20" i="1"/>
  <c r="AF23" i="1"/>
</calcChain>
</file>

<file path=xl/sharedStrings.xml><?xml version="1.0" encoding="utf-8"?>
<sst xmlns="http://schemas.openxmlformats.org/spreadsheetml/2006/main" count="1293" uniqueCount="186">
  <si>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</si>
  <si>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</si>
  <si>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</si>
  <si>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</si>
  <si>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</si>
  <si>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</si>
  <si>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</si>
  <si>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</si>
  <si>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</si>
  <si>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</si>
  <si>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</si>
  <si>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</si>
  <si>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</si>
  <si>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</si>
  <si>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</si>
  <si>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</si>
  <si>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</si>
  <si>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</si>
  <si>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</si>
  <si>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</si>
  <si>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</si>
  <si>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</si>
  <si>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</si>
  <si>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</si>
  <si>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</si>
  <si>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</si>
  <si>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</si>
  <si>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</si>
  <si>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</si>
  <si>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</si>
  <si>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</si>
  <si>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</si>
  <si>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</si>
  <si>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</si>
  <si>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</si>
  <si>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</si>
  <si>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</si>
  <si>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</si>
  <si>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</si>
  <si>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</si>
  <si>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</si>
  <si>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</si>
  <si>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</si>
  <si>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</si>
  <si>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</si>
  <si>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</si>
  <si>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</si>
  <si>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</si>
  <si>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</si>
  <si>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</si>
  <si>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</si>
  <si>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</si>
  <si>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</si>
  <si>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</si>
  <si>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</si>
  <si>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</si>
  <si>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</si>
  <si>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</si>
  <si>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</si>
  <si>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</si>
  <si>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</si>
  <si>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</si>
  <si>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</si>
  <si>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</si>
  <si>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</si>
  <si>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</si>
  <si>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</si>
  <si>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</si>
  <si>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</si>
  <si>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</si>
  <si>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</si>
  <si>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</si>
  <si>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</si>
  <si>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</si>
  <si>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</si>
  <si>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</si>
  <si>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</si>
  <si>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</si>
  <si>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</si>
  <si>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</si>
  <si>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</si>
  <si>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5938472</t>
  </si>
  <si>
    <t>Miftaur Rahman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</si>
  <si>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</si>
  <si>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</si>
  <si>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</si>
  <si>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</si>
  <si>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</si>
  <si>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</si>
  <si>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</si>
  <si>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</si>
  <si>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</si>
  <si>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</si>
  <si>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</si>
  <si>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</si>
  <si>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</si>
  <si>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</si>
  <si>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</si>
  <si>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</si>
  <si>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</si>
  <si>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</si>
  <si>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q3</t>
  </si>
  <si>
    <t>q8</t>
  </si>
  <si>
    <t>q7</t>
  </si>
  <si>
    <t>q18</t>
  </si>
  <si>
    <t>q23</t>
  </si>
  <si>
    <t>q17</t>
  </si>
  <si>
    <t>q40</t>
  </si>
  <si>
    <t>q39</t>
  </si>
  <si>
    <t>q32</t>
  </si>
  <si>
    <t>q49</t>
  </si>
  <si>
    <t>q47</t>
  </si>
  <si>
    <t>q60</t>
  </si>
  <si>
    <t>q63</t>
  </si>
  <si>
    <t>q76</t>
  </si>
  <si>
    <t>q68</t>
  </si>
  <si>
    <t>q5</t>
  </si>
  <si>
    <t>q15</t>
  </si>
  <si>
    <t>q25</t>
  </si>
  <si>
    <t>q21</t>
  </si>
  <si>
    <t>q27</t>
  </si>
  <si>
    <t>q41</t>
  </si>
  <si>
    <t>q44</t>
  </si>
  <si>
    <t>q30</t>
  </si>
  <si>
    <t>q51</t>
  </si>
  <si>
    <t>q50</t>
  </si>
  <si>
    <t>q45</t>
  </si>
  <si>
    <t>q66</t>
  </si>
  <si>
    <t>q74</t>
  </si>
  <si>
    <t>q11</t>
  </si>
  <si>
    <t>q10</t>
  </si>
  <si>
    <t>q1</t>
  </si>
  <si>
    <t>q26</t>
  </si>
  <si>
    <t>q19</t>
  </si>
  <si>
    <t>q34</t>
  </si>
  <si>
    <t>q36</t>
  </si>
  <si>
    <t>q31</t>
  </si>
  <si>
    <t>q52</t>
  </si>
  <si>
    <t>q55</t>
  </si>
  <si>
    <t>q46</t>
  </si>
  <si>
    <t>q70</t>
  </si>
  <si>
    <t>q67</t>
  </si>
  <si>
    <t>q12</t>
  </si>
  <si>
    <t>q9</t>
  </si>
  <si>
    <t>q24</t>
  </si>
  <si>
    <t>q20</t>
  </si>
  <si>
    <t>q35</t>
  </si>
  <si>
    <t>q42</t>
  </si>
  <si>
    <t>q56</t>
  </si>
  <si>
    <t>q48</t>
  </si>
  <si>
    <t>q73</t>
  </si>
  <si>
    <t>q64</t>
  </si>
  <si>
    <t>q69</t>
  </si>
  <si>
    <t>q13</t>
  </si>
  <si>
    <t>q14</t>
  </si>
  <si>
    <t>q28</t>
  </si>
  <si>
    <t>q22</t>
  </si>
  <si>
    <t>q29</t>
  </si>
  <si>
    <t>q33</t>
  </si>
  <si>
    <t>q58</t>
  </si>
  <si>
    <t>q53</t>
  </si>
  <si>
    <t>q61</t>
  </si>
  <si>
    <t>q75</t>
  </si>
  <si>
    <t>q71</t>
  </si>
  <si>
    <t>q16</t>
  </si>
  <si>
    <t>q38</t>
  </si>
  <si>
    <t>q59</t>
  </si>
  <si>
    <t>q54</t>
  </si>
  <si>
    <t>q62</t>
  </si>
  <si>
    <t>q72</t>
  </si>
  <si>
    <t>q2</t>
  </si>
  <si>
    <t>q37</t>
  </si>
  <si>
    <t>q43</t>
  </si>
  <si>
    <t>q57</t>
  </si>
  <si>
    <t>q65</t>
  </si>
  <si>
    <t>q4</t>
  </si>
  <si>
    <t>q6</t>
  </si>
  <si>
    <t>Roll</t>
  </si>
  <si>
    <t>A (C)</t>
  </si>
  <si>
    <t>C (W)</t>
  </si>
  <si>
    <t>C (C)</t>
  </si>
  <si>
    <t>B (C)</t>
  </si>
  <si>
    <t>D (C)</t>
  </si>
  <si>
    <t>D (W)</t>
  </si>
  <si>
    <t>A (W)</t>
  </si>
  <si>
    <t>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</si>
</sst>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D1" zoomScale="80" workbookViewId="0">
      <selection activeCell="AD7" sqref="AD7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E2">
        <f t="shared" ref="E2:E26" si="0">C2*1 + D2*($AI$8)</f>
        <v>0</v>
      </c>
      <c r="F2">
        <f t="shared" ref="F2:F26" si="1">E2/$AH$1*100</f>
        <v>0</v>
      </c>
      <c r="I2">
        <f t="shared" ref="I2:I26" si="2">G2*1 + H2*($AI$8)</f>
        <v>0</v>
      </c>
      <c r="J2">
        <f t="shared" ref="J2:J26" si="3">I2/$AH$2*100</f>
        <v>0</v>
      </c>
      <c r="M2">
        <f t="shared" ref="M2:M26" si="4">K2*1 + L2*($AI$8)</f>
        <v>0</v>
      </c>
      <c r="N2">
        <f t="shared" ref="N2:N26" si="5">M2/$AH$3*100</f>
        <v>0</v>
      </c>
      <c r="Q2">
        <f t="shared" ref="Q2:Q26" si="6">O2*1 + P2*($AI$8)</f>
        <v>0</v>
      </c>
      <c r="R2">
        <f t="shared" ref="R2:R26" si="7">Q2/$AH$4*100</f>
        <v>0</v>
      </c>
      <c r="U2">
        <f t="shared" ref="U2:U26" si="8">S2*1 + T2*($AI$8)</f>
        <v>0</v>
      </c>
      <c r="V2">
        <f t="shared" ref="V2:V26" si="9">U2/$AH$5*100</f>
        <v>0</v>
      </c>
      <c r="W2">
        <f t="shared" ref="W2:W26" si="10">E2 + I2 + M2 +Q2+U2</f>
        <v>0</v>
      </c>
      <c r="X2">
        <f t="shared" ref="X2:X26" si="11">W2/($AH$6-16)*100</f>
        <v>0</v>
      </c>
      <c r="Y2">
        <f t="shared" ref="Y2:Y26" si="12">_xlfn.RANK.EQ(X2, $X$2:$X$1002, 0)</f>
        <v>18</v>
      </c>
      <c r="Z2" s="19"/>
      <c r="AA2" s="20"/>
      <c r="AB2" s="20"/>
      <c r="AC2" s="20"/>
      <c r="AD2" s="20"/>
      <c r="AE2">
        <f t="shared" ref="AE2:AE26" si="13">W2+Z2+AA2+AB2+AD2+AC2</f>
        <v>0</v>
      </c>
      <c r="AF2">
        <f t="shared" ref="AF2:AF26" si="14">_xlfn.RANK.EQ(AE2, $AE$2:$AE$1002, 0)</f>
        <v>18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11</v>
      </c>
      <c r="D3">
        <v>4</v>
      </c>
      <c r="E3">
        <f t="shared" si="0"/>
        <v>10</v>
      </c>
      <c r="F3">
        <f t="shared" si="1"/>
        <v>62.5</v>
      </c>
      <c r="G3">
        <v>8</v>
      </c>
      <c r="H3">
        <v>3</v>
      </c>
      <c r="I3">
        <f t="shared" si="2"/>
        <v>7.25</v>
      </c>
      <c r="J3">
        <f t="shared" si="3"/>
        <v>60.416666666666664</v>
      </c>
      <c r="K3">
        <v>11</v>
      </c>
      <c r="L3">
        <v>4</v>
      </c>
      <c r="M3">
        <f t="shared" si="4"/>
        <v>10</v>
      </c>
      <c r="N3">
        <f t="shared" si="5"/>
        <v>62.5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14</v>
      </c>
      <c r="T3">
        <v>1</v>
      </c>
      <c r="U3">
        <f t="shared" si="8"/>
        <v>13.75</v>
      </c>
      <c r="V3">
        <f t="shared" si="9"/>
        <v>85.9375</v>
      </c>
      <c r="W3">
        <f t="shared" si="10"/>
        <v>41</v>
      </c>
      <c r="X3">
        <f t="shared" si="11"/>
        <v>68.333333333333329</v>
      </c>
      <c r="Y3">
        <f t="shared" si="12"/>
        <v>9</v>
      </c>
      <c r="Z3" s="21">
        <v>3.5</v>
      </c>
      <c r="AA3" s="21">
        <v>7</v>
      </c>
      <c r="AB3" s="21">
        <v>6</v>
      </c>
      <c r="AC3" s="20"/>
      <c r="AD3" s="21">
        <v>7.5</v>
      </c>
      <c r="AE3">
        <f t="shared" si="13"/>
        <v>65</v>
      </c>
      <c r="AF3">
        <f t="shared" si="14"/>
        <v>8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14</v>
      </c>
      <c r="D4">
        <v>2</v>
      </c>
      <c r="E4">
        <f t="shared" si="0"/>
        <v>13.5</v>
      </c>
      <c r="F4">
        <f t="shared" si="1"/>
        <v>84.375</v>
      </c>
      <c r="G4">
        <v>9</v>
      </c>
      <c r="H4">
        <v>3</v>
      </c>
      <c r="I4">
        <f t="shared" si="2"/>
        <v>8.25</v>
      </c>
      <c r="J4">
        <f t="shared" si="3"/>
        <v>68.75</v>
      </c>
      <c r="K4">
        <v>8</v>
      </c>
      <c r="L4">
        <v>8</v>
      </c>
      <c r="M4">
        <f t="shared" si="4"/>
        <v>6</v>
      </c>
      <c r="N4">
        <f t="shared" si="5"/>
        <v>37.5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11</v>
      </c>
      <c r="T4">
        <v>5</v>
      </c>
      <c r="U4">
        <f t="shared" si="8"/>
        <v>9.75</v>
      </c>
      <c r="V4">
        <f t="shared" si="9"/>
        <v>60.9375</v>
      </c>
      <c r="W4">
        <f t="shared" si="10"/>
        <v>37.5</v>
      </c>
      <c r="X4">
        <f t="shared" si="11"/>
        <v>62.5</v>
      </c>
      <c r="Y4">
        <f t="shared" si="12"/>
        <v>11</v>
      </c>
      <c r="Z4" s="21">
        <v>4.5</v>
      </c>
      <c r="AA4" s="21">
        <v>10</v>
      </c>
      <c r="AB4" s="21">
        <v>6.5</v>
      </c>
      <c r="AC4" s="20"/>
      <c r="AD4" s="21">
        <v>6.5</v>
      </c>
      <c r="AE4">
        <f t="shared" si="13"/>
        <v>65</v>
      </c>
      <c r="AF4">
        <f t="shared" si="14"/>
        <v>8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12</v>
      </c>
      <c r="D5">
        <v>1</v>
      </c>
      <c r="E5">
        <f t="shared" si="0"/>
        <v>11.75</v>
      </c>
      <c r="F5">
        <f t="shared" si="1"/>
        <v>73.4375</v>
      </c>
      <c r="G5">
        <v>7</v>
      </c>
      <c r="H5">
        <v>1</v>
      </c>
      <c r="I5">
        <f t="shared" si="2"/>
        <v>6.75</v>
      </c>
      <c r="J5">
        <f t="shared" si="3"/>
        <v>56.25</v>
      </c>
      <c r="K5">
        <v>7</v>
      </c>
      <c r="L5">
        <v>5</v>
      </c>
      <c r="M5">
        <f t="shared" si="4"/>
        <v>5.75</v>
      </c>
      <c r="N5">
        <f t="shared" si="5"/>
        <v>35.9375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7</v>
      </c>
      <c r="T5">
        <v>5</v>
      </c>
      <c r="U5">
        <f t="shared" si="8"/>
        <v>5.75</v>
      </c>
      <c r="V5">
        <f t="shared" si="9"/>
        <v>35.9375</v>
      </c>
      <c r="W5">
        <f t="shared" si="10"/>
        <v>30</v>
      </c>
      <c r="X5">
        <f t="shared" si="11"/>
        <v>50</v>
      </c>
      <c r="Y5">
        <f t="shared" si="12"/>
        <v>16</v>
      </c>
      <c r="Z5" s="21">
        <v>5</v>
      </c>
      <c r="AA5" s="21">
        <v>8</v>
      </c>
      <c r="AB5" s="21">
        <v>5</v>
      </c>
      <c r="AC5" s="20"/>
      <c r="AD5" s="21">
        <v>3</v>
      </c>
      <c r="AE5">
        <f t="shared" si="13"/>
        <v>51</v>
      </c>
      <c r="AF5">
        <f t="shared" si="14"/>
        <v>16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C6">
        <v>11</v>
      </c>
      <c r="D6">
        <v>3</v>
      </c>
      <c r="E6">
        <f t="shared" si="0"/>
        <v>10.25</v>
      </c>
      <c r="F6">
        <f t="shared" si="1"/>
        <v>64.0625</v>
      </c>
      <c r="G6">
        <v>5</v>
      </c>
      <c r="H6">
        <v>3</v>
      </c>
      <c r="I6">
        <f t="shared" si="2"/>
        <v>4.25</v>
      </c>
      <c r="J6">
        <f t="shared" si="3"/>
        <v>35.416666666666671</v>
      </c>
      <c r="K6">
        <v>13</v>
      </c>
      <c r="L6">
        <v>2</v>
      </c>
      <c r="M6">
        <f t="shared" si="4"/>
        <v>12.5</v>
      </c>
      <c r="N6">
        <f t="shared" si="5"/>
        <v>78.125</v>
      </c>
      <c r="O6">
        <v>0</v>
      </c>
      <c r="P6">
        <v>0</v>
      </c>
      <c r="Q6">
        <f t="shared" si="6"/>
        <v>0</v>
      </c>
      <c r="R6">
        <f t="shared" si="7"/>
        <v>0</v>
      </c>
      <c r="S6">
        <v>15</v>
      </c>
      <c r="T6">
        <v>0</v>
      </c>
      <c r="U6">
        <f t="shared" si="8"/>
        <v>15</v>
      </c>
      <c r="V6">
        <f t="shared" si="9"/>
        <v>93.75</v>
      </c>
      <c r="W6">
        <f t="shared" si="10"/>
        <v>42</v>
      </c>
      <c r="X6">
        <f t="shared" si="11"/>
        <v>70</v>
      </c>
      <c r="Y6">
        <f t="shared" si="12"/>
        <v>7</v>
      </c>
      <c r="Z6" s="21">
        <v>5</v>
      </c>
      <c r="AA6" s="21">
        <v>5</v>
      </c>
      <c r="AB6" s="21">
        <v>5.5</v>
      </c>
      <c r="AC6" s="20"/>
      <c r="AD6" s="21">
        <v>6</v>
      </c>
      <c r="AE6">
        <f t="shared" si="13"/>
        <v>63.5</v>
      </c>
      <c r="AF6">
        <f t="shared" si="14"/>
        <v>11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13</v>
      </c>
      <c r="D7">
        <v>2</v>
      </c>
      <c r="E7">
        <f t="shared" si="0"/>
        <v>12.5</v>
      </c>
      <c r="F7">
        <f t="shared" si="1"/>
        <v>78.125</v>
      </c>
      <c r="G7">
        <v>7</v>
      </c>
      <c r="H7">
        <v>4</v>
      </c>
      <c r="I7">
        <f t="shared" si="2"/>
        <v>6</v>
      </c>
      <c r="J7">
        <f t="shared" si="3"/>
        <v>50</v>
      </c>
      <c r="K7">
        <v>8</v>
      </c>
      <c r="L7">
        <v>4</v>
      </c>
      <c r="M7">
        <f t="shared" si="4"/>
        <v>7</v>
      </c>
      <c r="N7">
        <f t="shared" si="5"/>
        <v>43.75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11</v>
      </c>
      <c r="T7">
        <v>2</v>
      </c>
      <c r="U7">
        <f t="shared" si="8"/>
        <v>10.5</v>
      </c>
      <c r="V7">
        <f t="shared" si="9"/>
        <v>65.625</v>
      </c>
      <c r="W7">
        <f t="shared" si="10"/>
        <v>36</v>
      </c>
      <c r="X7">
        <f t="shared" si="11"/>
        <v>60</v>
      </c>
      <c r="Y7">
        <f t="shared" si="12"/>
        <v>15</v>
      </c>
      <c r="Z7" s="21">
        <v>5</v>
      </c>
      <c r="AA7" s="21">
        <v>4</v>
      </c>
      <c r="AB7" s="21">
        <v>5.5</v>
      </c>
      <c r="AC7" s="20"/>
      <c r="AD7" s="21">
        <v>4.5</v>
      </c>
      <c r="AE7">
        <f t="shared" si="13"/>
        <v>55</v>
      </c>
      <c r="AF7">
        <f t="shared" si="14"/>
        <v>15</v>
      </c>
    </row>
    <row r="8" spans="1:35" ht="15" customHeight="1" thickBot="1">
      <c r="A8" s="1" t="s">
        <v>45</v>
      </c>
      <c r="B8" s="4" t="s">
        <v>46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Q8">
        <f t="shared" si="6"/>
        <v>0</v>
      </c>
      <c r="R8">
        <f t="shared" si="7"/>
        <v>0</v>
      </c>
      <c r="U8">
        <f t="shared" si="8"/>
        <v>0</v>
      </c>
      <c r="V8">
        <f t="shared" si="9"/>
        <v>0</v>
      </c>
      <c r="W8">
        <f t="shared" si="10"/>
        <v>0</v>
      </c>
      <c r="X8">
        <f t="shared" si="11"/>
        <v>0</v>
      </c>
      <c r="Y8">
        <f t="shared" si="12"/>
        <v>18</v>
      </c>
      <c r="Z8" s="19"/>
      <c r="AA8" s="20"/>
      <c r="AB8" s="20"/>
      <c r="AC8" s="20"/>
      <c r="AD8" s="20"/>
      <c r="AE8">
        <f t="shared" si="13"/>
        <v>0</v>
      </c>
      <c r="AF8">
        <f t="shared" si="14"/>
        <v>18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7</v>
      </c>
      <c r="D9">
        <v>4</v>
      </c>
      <c r="E9">
        <f t="shared" si="0"/>
        <v>6</v>
      </c>
      <c r="F9">
        <f t="shared" si="1"/>
        <v>37.5</v>
      </c>
      <c r="G9">
        <v>0</v>
      </c>
      <c r="H9">
        <v>4</v>
      </c>
      <c r="I9">
        <f t="shared" si="2"/>
        <v>-1</v>
      </c>
      <c r="J9">
        <f t="shared" si="3"/>
        <v>-8.3333333333333321</v>
      </c>
      <c r="K9">
        <v>10</v>
      </c>
      <c r="L9">
        <v>3</v>
      </c>
      <c r="M9">
        <f t="shared" si="4"/>
        <v>9.25</v>
      </c>
      <c r="N9">
        <f t="shared" si="5"/>
        <v>57.8125</v>
      </c>
      <c r="O9">
        <v>3</v>
      </c>
      <c r="P9">
        <v>7</v>
      </c>
      <c r="Q9">
        <f t="shared" si="6"/>
        <v>1.25</v>
      </c>
      <c r="R9">
        <f t="shared" si="7"/>
        <v>7.8125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15.5</v>
      </c>
      <c r="X9">
        <f t="shared" si="11"/>
        <v>25.833333333333336</v>
      </c>
      <c r="Y9">
        <f t="shared" si="12"/>
        <v>17</v>
      </c>
      <c r="Z9" s="22">
        <v>3.5</v>
      </c>
      <c r="AA9" s="21">
        <v>2</v>
      </c>
      <c r="AB9" s="21">
        <v>3.5</v>
      </c>
      <c r="AC9" s="21">
        <v>1.5</v>
      </c>
      <c r="AD9" s="20"/>
      <c r="AE9">
        <f t="shared" si="13"/>
        <v>26</v>
      </c>
      <c r="AF9">
        <f t="shared" si="14"/>
        <v>17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18</v>
      </c>
      <c r="Z10" s="20"/>
      <c r="AA10" s="20"/>
      <c r="AB10" s="20"/>
      <c r="AC10" s="20"/>
      <c r="AD10" s="20"/>
      <c r="AE10">
        <f t="shared" si="13"/>
        <v>0</v>
      </c>
      <c r="AF10">
        <f t="shared" si="14"/>
        <v>18</v>
      </c>
    </row>
    <row r="11" spans="1:35" ht="15" customHeight="1" thickBot="1">
      <c r="A11" s="1" t="s">
        <v>51</v>
      </c>
      <c r="B11" s="3" t="s">
        <v>52</v>
      </c>
      <c r="C11">
        <v>11</v>
      </c>
      <c r="D11">
        <v>5</v>
      </c>
      <c r="E11">
        <f t="shared" si="0"/>
        <v>9.75</v>
      </c>
      <c r="F11">
        <f t="shared" si="1"/>
        <v>60.9375</v>
      </c>
      <c r="G11">
        <v>7</v>
      </c>
      <c r="H11">
        <v>5</v>
      </c>
      <c r="I11">
        <f t="shared" si="2"/>
        <v>5.75</v>
      </c>
      <c r="J11">
        <f t="shared" si="3"/>
        <v>47.916666666666671</v>
      </c>
      <c r="K11">
        <v>9</v>
      </c>
      <c r="L11">
        <v>7</v>
      </c>
      <c r="M11">
        <f t="shared" si="4"/>
        <v>7.25</v>
      </c>
      <c r="N11">
        <f t="shared" si="5"/>
        <v>45.3125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14</v>
      </c>
      <c r="T11">
        <v>2</v>
      </c>
      <c r="U11">
        <f t="shared" si="8"/>
        <v>13.5</v>
      </c>
      <c r="V11">
        <f t="shared" si="9"/>
        <v>84.375</v>
      </c>
      <c r="W11">
        <f t="shared" si="10"/>
        <v>36.25</v>
      </c>
      <c r="X11">
        <f t="shared" si="11"/>
        <v>60.416666666666664</v>
      </c>
      <c r="Y11">
        <f t="shared" si="12"/>
        <v>13</v>
      </c>
      <c r="Z11" s="21">
        <v>5</v>
      </c>
      <c r="AA11" s="21">
        <v>6</v>
      </c>
      <c r="AB11" s="21">
        <v>5.5</v>
      </c>
      <c r="AC11" s="20"/>
      <c r="AD11" s="21">
        <v>6.5</v>
      </c>
      <c r="AE11">
        <f t="shared" si="13"/>
        <v>59.25</v>
      </c>
      <c r="AF11">
        <f t="shared" si="14"/>
        <v>13</v>
      </c>
    </row>
    <row r="12" spans="1:35" ht="15" customHeight="1" thickBot="1">
      <c r="A12" s="1" t="s">
        <v>53</v>
      </c>
      <c r="B12" s="3" t="s">
        <v>54</v>
      </c>
      <c r="C12">
        <v>15</v>
      </c>
      <c r="D12">
        <v>0</v>
      </c>
      <c r="E12">
        <f t="shared" si="0"/>
        <v>15</v>
      </c>
      <c r="F12">
        <f t="shared" si="1"/>
        <v>93.75</v>
      </c>
      <c r="G12">
        <v>7</v>
      </c>
      <c r="H12">
        <v>3</v>
      </c>
      <c r="I12">
        <f t="shared" si="2"/>
        <v>6.25</v>
      </c>
      <c r="J12">
        <f t="shared" si="3"/>
        <v>52.083333333333336</v>
      </c>
      <c r="K12">
        <v>15</v>
      </c>
      <c r="L12">
        <v>1</v>
      </c>
      <c r="M12">
        <f t="shared" si="4"/>
        <v>14.75</v>
      </c>
      <c r="N12">
        <f t="shared" si="5"/>
        <v>92.1875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15</v>
      </c>
      <c r="T12">
        <v>0</v>
      </c>
      <c r="U12">
        <f t="shared" si="8"/>
        <v>15</v>
      </c>
      <c r="V12">
        <f t="shared" si="9"/>
        <v>93.75</v>
      </c>
      <c r="W12">
        <f t="shared" si="10"/>
        <v>51</v>
      </c>
      <c r="X12">
        <f t="shared" si="11"/>
        <v>85</v>
      </c>
      <c r="Y12">
        <f t="shared" si="12"/>
        <v>2</v>
      </c>
      <c r="Z12" s="21">
        <v>7</v>
      </c>
      <c r="AA12" s="21">
        <v>9</v>
      </c>
      <c r="AB12" s="21">
        <v>6.5</v>
      </c>
      <c r="AC12" s="20"/>
      <c r="AD12" s="21">
        <v>9.5</v>
      </c>
      <c r="AE12">
        <f t="shared" si="13"/>
        <v>83</v>
      </c>
      <c r="AF12">
        <f t="shared" si="14"/>
        <v>2</v>
      </c>
    </row>
    <row r="13" spans="1:35" ht="15" customHeight="1" thickBot="1">
      <c r="A13" s="1" t="s">
        <v>55</v>
      </c>
      <c r="B13" s="4" t="s">
        <v>56</v>
      </c>
      <c r="C13">
        <v>13</v>
      </c>
      <c r="D13">
        <v>0</v>
      </c>
      <c r="E13">
        <f t="shared" si="0"/>
        <v>13</v>
      </c>
      <c r="F13">
        <f t="shared" si="1"/>
        <v>81.25</v>
      </c>
      <c r="G13">
        <v>4</v>
      </c>
      <c r="H13">
        <v>3</v>
      </c>
      <c r="I13">
        <f t="shared" si="2"/>
        <v>3.25</v>
      </c>
      <c r="J13">
        <f t="shared" si="3"/>
        <v>27.083333333333332</v>
      </c>
      <c r="K13">
        <v>11</v>
      </c>
      <c r="L13">
        <v>3</v>
      </c>
      <c r="M13">
        <f t="shared" si="4"/>
        <v>10.25</v>
      </c>
      <c r="N13">
        <f t="shared" si="5"/>
        <v>64.0625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10</v>
      </c>
      <c r="T13">
        <v>1</v>
      </c>
      <c r="U13">
        <f t="shared" si="8"/>
        <v>9.75</v>
      </c>
      <c r="V13">
        <f t="shared" si="9"/>
        <v>60.9375</v>
      </c>
      <c r="W13">
        <f t="shared" si="10"/>
        <v>36.25</v>
      </c>
      <c r="X13">
        <f t="shared" si="11"/>
        <v>60.416666666666664</v>
      </c>
      <c r="Y13">
        <f t="shared" si="12"/>
        <v>13</v>
      </c>
      <c r="Z13" s="22">
        <v>4</v>
      </c>
      <c r="AA13" s="21">
        <v>7</v>
      </c>
      <c r="AB13" s="21">
        <v>4.5</v>
      </c>
      <c r="AC13" s="20"/>
      <c r="AD13" s="21">
        <v>5</v>
      </c>
      <c r="AE13">
        <f t="shared" si="13"/>
        <v>56.75</v>
      </c>
      <c r="AF13">
        <f t="shared" si="14"/>
        <v>14</v>
      </c>
    </row>
    <row r="14" spans="1:35" ht="15" customHeight="1" thickBot="1">
      <c r="A14" s="1" t="s">
        <v>57</v>
      </c>
      <c r="B14" s="3" t="s">
        <v>58</v>
      </c>
      <c r="C14">
        <v>14</v>
      </c>
      <c r="D14">
        <v>2</v>
      </c>
      <c r="E14">
        <f t="shared" si="0"/>
        <v>13.5</v>
      </c>
      <c r="F14">
        <f t="shared" si="1"/>
        <v>84.375</v>
      </c>
      <c r="G14">
        <v>10</v>
      </c>
      <c r="H14">
        <v>1</v>
      </c>
      <c r="I14">
        <f t="shared" si="2"/>
        <v>9.75</v>
      </c>
      <c r="J14">
        <f t="shared" si="3"/>
        <v>81.25</v>
      </c>
      <c r="K14">
        <v>12</v>
      </c>
      <c r="L14">
        <v>3</v>
      </c>
      <c r="M14">
        <f t="shared" si="4"/>
        <v>11.25</v>
      </c>
      <c r="N14">
        <f t="shared" si="5"/>
        <v>70.3125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15</v>
      </c>
      <c r="T14">
        <v>0</v>
      </c>
      <c r="U14">
        <f t="shared" si="8"/>
        <v>15</v>
      </c>
      <c r="V14">
        <f t="shared" si="9"/>
        <v>93.75</v>
      </c>
      <c r="W14">
        <f t="shared" si="10"/>
        <v>49.5</v>
      </c>
      <c r="X14">
        <f t="shared" si="11"/>
        <v>82.5</v>
      </c>
      <c r="Y14">
        <f t="shared" si="12"/>
        <v>4</v>
      </c>
      <c r="Z14" s="21">
        <v>5.5</v>
      </c>
      <c r="AA14" s="21">
        <v>8</v>
      </c>
      <c r="AB14" s="21">
        <v>7</v>
      </c>
      <c r="AC14" s="20"/>
      <c r="AD14" s="21">
        <v>8</v>
      </c>
      <c r="AE14">
        <f t="shared" si="13"/>
        <v>78</v>
      </c>
      <c r="AF14">
        <f t="shared" si="14"/>
        <v>3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18</v>
      </c>
      <c r="Z15" s="20"/>
      <c r="AA15" s="20"/>
      <c r="AB15" s="20"/>
      <c r="AC15" s="20"/>
      <c r="AD15" s="20"/>
      <c r="AE15">
        <f t="shared" si="13"/>
        <v>0</v>
      </c>
      <c r="AF15">
        <f t="shared" si="14"/>
        <v>18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18</v>
      </c>
      <c r="Z16" s="20"/>
      <c r="AA16" s="20"/>
      <c r="AB16" s="20"/>
      <c r="AC16" s="20"/>
      <c r="AD16" s="20"/>
      <c r="AE16">
        <f t="shared" si="13"/>
        <v>0</v>
      </c>
      <c r="AF16">
        <f t="shared" si="14"/>
        <v>18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18</v>
      </c>
      <c r="Z17" s="20"/>
      <c r="AA17" s="20"/>
      <c r="AB17" s="20"/>
      <c r="AC17" s="20"/>
      <c r="AD17" s="20"/>
      <c r="AE17">
        <f t="shared" si="13"/>
        <v>0</v>
      </c>
      <c r="AF17">
        <f t="shared" si="14"/>
        <v>18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18</v>
      </c>
      <c r="Z18" s="20"/>
      <c r="AA18" s="20"/>
      <c r="AB18" s="20"/>
      <c r="AC18" s="20"/>
      <c r="AD18" s="20"/>
      <c r="AE18">
        <f t="shared" si="13"/>
        <v>0</v>
      </c>
      <c r="AF18">
        <f t="shared" si="14"/>
        <v>18</v>
      </c>
    </row>
    <row r="19" spans="1:32" ht="15" customHeight="1" thickBot="1">
      <c r="A19" s="1" t="s">
        <v>67</v>
      </c>
      <c r="B19" s="3" t="s">
        <v>68</v>
      </c>
      <c r="C19">
        <v>14</v>
      </c>
      <c r="D19">
        <v>2</v>
      </c>
      <c r="E19">
        <f t="shared" si="0"/>
        <v>13.5</v>
      </c>
      <c r="F19">
        <f t="shared" si="1"/>
        <v>84.375</v>
      </c>
      <c r="G19">
        <v>10</v>
      </c>
      <c r="H19">
        <v>1</v>
      </c>
      <c r="I19">
        <f t="shared" si="2"/>
        <v>9.75</v>
      </c>
      <c r="J19">
        <f t="shared" si="3"/>
        <v>81.25</v>
      </c>
      <c r="K19">
        <v>15</v>
      </c>
      <c r="L19">
        <v>0</v>
      </c>
      <c r="M19">
        <f t="shared" si="4"/>
        <v>15</v>
      </c>
      <c r="N19">
        <f t="shared" si="5"/>
        <v>93.75</v>
      </c>
      <c r="O19">
        <v>0</v>
      </c>
      <c r="P19">
        <v>0</v>
      </c>
      <c r="Q19">
        <f t="shared" si="6"/>
        <v>0</v>
      </c>
      <c r="R19">
        <f t="shared" si="7"/>
        <v>0</v>
      </c>
      <c r="S19">
        <v>15</v>
      </c>
      <c r="T19">
        <v>0</v>
      </c>
      <c r="U19">
        <f t="shared" si="8"/>
        <v>15</v>
      </c>
      <c r="V19">
        <f t="shared" si="9"/>
        <v>93.75</v>
      </c>
      <c r="W19">
        <f t="shared" si="10"/>
        <v>53.25</v>
      </c>
      <c r="X19">
        <f t="shared" si="11"/>
        <v>88.75</v>
      </c>
      <c r="Y19">
        <f t="shared" si="12"/>
        <v>1</v>
      </c>
      <c r="Z19" s="21">
        <v>6</v>
      </c>
      <c r="AA19" s="21">
        <v>8</v>
      </c>
      <c r="AB19" s="21">
        <v>9.5</v>
      </c>
      <c r="AC19" s="20"/>
      <c r="AD19" s="21">
        <v>6.5</v>
      </c>
      <c r="AE19">
        <f t="shared" si="13"/>
        <v>83.25</v>
      </c>
      <c r="AF19">
        <f t="shared" si="14"/>
        <v>1</v>
      </c>
    </row>
    <row r="20" spans="1:32" ht="15" customHeight="1" thickBot="1">
      <c r="A20" s="1" t="s">
        <v>69</v>
      </c>
      <c r="B20" s="3" t="s">
        <v>70</v>
      </c>
      <c r="C20">
        <v>12</v>
      </c>
      <c r="D20">
        <v>1</v>
      </c>
      <c r="E20">
        <f t="shared" si="0"/>
        <v>11.75</v>
      </c>
      <c r="F20">
        <f t="shared" si="1"/>
        <v>73.4375</v>
      </c>
      <c r="G20">
        <v>5</v>
      </c>
      <c r="H20">
        <v>1</v>
      </c>
      <c r="I20">
        <f t="shared" si="2"/>
        <v>4.75</v>
      </c>
      <c r="J20">
        <f t="shared" si="3"/>
        <v>39.583333333333329</v>
      </c>
      <c r="K20">
        <v>11</v>
      </c>
      <c r="L20">
        <v>3</v>
      </c>
      <c r="M20">
        <f t="shared" si="4"/>
        <v>10.25</v>
      </c>
      <c r="N20">
        <f t="shared" si="5"/>
        <v>64.0625</v>
      </c>
      <c r="O20">
        <v>0</v>
      </c>
      <c r="P20">
        <v>0</v>
      </c>
      <c r="Q20">
        <f t="shared" si="6"/>
        <v>0</v>
      </c>
      <c r="R20">
        <f t="shared" si="7"/>
        <v>0</v>
      </c>
      <c r="S20">
        <v>11</v>
      </c>
      <c r="T20">
        <v>3</v>
      </c>
      <c r="U20">
        <f t="shared" si="8"/>
        <v>10.25</v>
      </c>
      <c r="V20">
        <f t="shared" si="9"/>
        <v>64.0625</v>
      </c>
      <c r="W20">
        <f t="shared" si="10"/>
        <v>37</v>
      </c>
      <c r="X20">
        <f t="shared" si="11"/>
        <v>61.666666666666671</v>
      </c>
      <c r="Y20">
        <f t="shared" si="12"/>
        <v>12</v>
      </c>
      <c r="Z20" s="21">
        <v>4</v>
      </c>
      <c r="AA20" s="21">
        <v>7</v>
      </c>
      <c r="AB20" s="21">
        <v>5.5</v>
      </c>
      <c r="AC20" s="20"/>
      <c r="AD20" s="21">
        <v>6.5</v>
      </c>
      <c r="AE20">
        <f t="shared" si="13"/>
        <v>60</v>
      </c>
      <c r="AF20">
        <f t="shared" si="14"/>
        <v>12</v>
      </c>
    </row>
    <row r="21" spans="1:32" ht="15" customHeight="1" thickBot="1">
      <c r="A21" s="1" t="s">
        <v>71</v>
      </c>
      <c r="B21" s="4" t="s">
        <v>72</v>
      </c>
      <c r="C21">
        <v>13</v>
      </c>
      <c r="D21">
        <v>1</v>
      </c>
      <c r="E21">
        <f t="shared" si="0"/>
        <v>12.75</v>
      </c>
      <c r="F21">
        <f t="shared" si="1"/>
        <v>79.6875</v>
      </c>
      <c r="G21">
        <v>8</v>
      </c>
      <c r="H21">
        <v>2</v>
      </c>
      <c r="I21">
        <f t="shared" si="2"/>
        <v>7.5</v>
      </c>
      <c r="J21">
        <f t="shared" si="3"/>
        <v>62.5</v>
      </c>
      <c r="K21">
        <v>12</v>
      </c>
      <c r="L21">
        <v>2</v>
      </c>
      <c r="M21">
        <f t="shared" si="4"/>
        <v>11.5</v>
      </c>
      <c r="N21">
        <f t="shared" si="5"/>
        <v>71.875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16</v>
      </c>
      <c r="T21">
        <v>0</v>
      </c>
      <c r="U21">
        <f t="shared" si="8"/>
        <v>16</v>
      </c>
      <c r="V21">
        <f t="shared" si="9"/>
        <v>100</v>
      </c>
      <c r="W21">
        <f t="shared" si="10"/>
        <v>47.75</v>
      </c>
      <c r="X21">
        <f t="shared" si="11"/>
        <v>79.583333333333329</v>
      </c>
      <c r="Y21">
        <f t="shared" si="12"/>
        <v>5</v>
      </c>
      <c r="Z21" s="22">
        <v>5.5</v>
      </c>
      <c r="AA21" s="21">
        <v>6</v>
      </c>
      <c r="AB21" s="21">
        <v>6</v>
      </c>
      <c r="AC21" s="20"/>
      <c r="AD21" s="21">
        <v>5</v>
      </c>
      <c r="AE21">
        <f t="shared" si="13"/>
        <v>70.25</v>
      </c>
      <c r="AF21">
        <f t="shared" si="14"/>
        <v>6</v>
      </c>
    </row>
    <row r="22" spans="1:32" ht="15" customHeight="1" thickBot="1">
      <c r="A22" s="5" t="s">
        <v>73</v>
      </c>
      <c r="B22" s="6" t="s">
        <v>74</v>
      </c>
      <c r="C22">
        <v>15</v>
      </c>
      <c r="D22">
        <v>1</v>
      </c>
      <c r="E22">
        <f t="shared" si="0"/>
        <v>14.75</v>
      </c>
      <c r="F22">
        <f t="shared" si="1"/>
        <v>92.1875</v>
      </c>
      <c r="G22">
        <v>6</v>
      </c>
      <c r="H22">
        <v>4</v>
      </c>
      <c r="I22">
        <f t="shared" si="2"/>
        <v>5</v>
      </c>
      <c r="J22">
        <f t="shared" si="3"/>
        <v>41.666666666666671</v>
      </c>
      <c r="K22">
        <v>10</v>
      </c>
      <c r="L22">
        <v>6</v>
      </c>
      <c r="M22">
        <f t="shared" si="4"/>
        <v>8.5</v>
      </c>
      <c r="N22">
        <f t="shared" si="5"/>
        <v>53.125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13</v>
      </c>
      <c r="T22">
        <v>3</v>
      </c>
      <c r="U22">
        <f t="shared" si="8"/>
        <v>12.25</v>
      </c>
      <c r="V22">
        <f t="shared" si="9"/>
        <v>76.5625</v>
      </c>
      <c r="W22">
        <f t="shared" si="10"/>
        <v>40.5</v>
      </c>
      <c r="X22">
        <f t="shared" si="11"/>
        <v>67.5</v>
      </c>
      <c r="Y22">
        <f t="shared" si="12"/>
        <v>10</v>
      </c>
      <c r="Z22" s="23">
        <v>7</v>
      </c>
      <c r="AA22" s="21">
        <v>6</v>
      </c>
      <c r="AB22" s="21">
        <v>3.5</v>
      </c>
      <c r="AC22" s="20"/>
      <c r="AD22" s="21">
        <v>7</v>
      </c>
      <c r="AE22">
        <f t="shared" si="13"/>
        <v>64</v>
      </c>
      <c r="AF22">
        <f t="shared" si="14"/>
        <v>10</v>
      </c>
    </row>
    <row r="23" spans="1:32" ht="15" customHeight="1" thickBot="1">
      <c r="A23" s="5" t="s">
        <v>75</v>
      </c>
      <c r="B23" s="7" t="s">
        <v>76</v>
      </c>
      <c r="C23">
        <v>15</v>
      </c>
      <c r="D23">
        <v>1</v>
      </c>
      <c r="E23">
        <f t="shared" si="0"/>
        <v>14.75</v>
      </c>
      <c r="F23">
        <f t="shared" si="1"/>
        <v>92.1875</v>
      </c>
      <c r="G23">
        <v>11</v>
      </c>
      <c r="H23">
        <v>0</v>
      </c>
      <c r="I23">
        <f t="shared" si="2"/>
        <v>11</v>
      </c>
      <c r="J23">
        <f t="shared" si="3"/>
        <v>91.666666666666657</v>
      </c>
      <c r="K23">
        <v>11</v>
      </c>
      <c r="L23">
        <v>4</v>
      </c>
      <c r="M23">
        <f t="shared" si="4"/>
        <v>10</v>
      </c>
      <c r="N23">
        <f t="shared" si="5"/>
        <v>62.5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15</v>
      </c>
      <c r="T23">
        <v>1</v>
      </c>
      <c r="U23">
        <f t="shared" si="8"/>
        <v>14.75</v>
      </c>
      <c r="V23">
        <f t="shared" si="9"/>
        <v>92.1875</v>
      </c>
      <c r="W23">
        <f t="shared" si="10"/>
        <v>50.5</v>
      </c>
      <c r="X23">
        <f t="shared" si="11"/>
        <v>84.166666666666671</v>
      </c>
      <c r="Y23">
        <f t="shared" si="12"/>
        <v>3</v>
      </c>
      <c r="Z23" s="21">
        <v>5.5</v>
      </c>
      <c r="AA23" s="21">
        <v>9</v>
      </c>
      <c r="AB23" s="21">
        <v>6</v>
      </c>
      <c r="AC23" s="20"/>
      <c r="AD23" s="21">
        <v>7</v>
      </c>
      <c r="AE23">
        <f t="shared" si="13"/>
        <v>78</v>
      </c>
      <c r="AF23">
        <f t="shared" si="14"/>
        <v>3</v>
      </c>
    </row>
    <row r="24" spans="1:32" ht="15" customHeight="1" thickBot="1">
      <c r="A24" s="8" t="s">
        <v>77</v>
      </c>
      <c r="B24" s="9" t="s">
        <v>78</v>
      </c>
      <c r="C24">
        <v>10</v>
      </c>
      <c r="D24">
        <v>5</v>
      </c>
      <c r="E24">
        <f t="shared" si="0"/>
        <v>8.75</v>
      </c>
      <c r="F24">
        <f t="shared" si="1"/>
        <v>54.6875</v>
      </c>
      <c r="G24">
        <v>8</v>
      </c>
      <c r="H24">
        <v>2</v>
      </c>
      <c r="I24">
        <f t="shared" si="2"/>
        <v>7.5</v>
      </c>
      <c r="J24">
        <f t="shared" si="3"/>
        <v>62.5</v>
      </c>
      <c r="K24">
        <v>15</v>
      </c>
      <c r="L24">
        <v>1</v>
      </c>
      <c r="M24">
        <f t="shared" si="4"/>
        <v>14.75</v>
      </c>
      <c r="N24">
        <f t="shared" si="5"/>
        <v>92.1875</v>
      </c>
      <c r="O24">
        <v>14</v>
      </c>
      <c r="P24">
        <v>1</v>
      </c>
      <c r="Q24">
        <f t="shared" si="6"/>
        <v>13.75</v>
      </c>
      <c r="R24">
        <f t="shared" si="7"/>
        <v>85.9375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44.75</v>
      </c>
      <c r="X24">
        <f t="shared" si="11"/>
        <v>74.583333333333329</v>
      </c>
      <c r="Y24">
        <f t="shared" si="12"/>
        <v>6</v>
      </c>
      <c r="Z24" s="22">
        <v>4.5</v>
      </c>
      <c r="AA24" s="21">
        <v>9</v>
      </c>
      <c r="AB24" s="21">
        <v>5</v>
      </c>
      <c r="AC24" s="21">
        <v>7.5</v>
      </c>
      <c r="AD24" s="20"/>
      <c r="AE24">
        <f t="shared" si="13"/>
        <v>70.75</v>
      </c>
      <c r="AF24">
        <f t="shared" si="14"/>
        <v>5</v>
      </c>
    </row>
    <row r="25" spans="1:32" ht="43.8" thickBot="1">
      <c r="A25" s="10" t="s">
        <v>79</v>
      </c>
      <c r="B25" s="10" t="s">
        <v>80</v>
      </c>
      <c r="C25">
        <v>12</v>
      </c>
      <c r="D25">
        <v>3</v>
      </c>
      <c r="E25">
        <f t="shared" si="0"/>
        <v>11.25</v>
      </c>
      <c r="F25">
        <f t="shared" si="1"/>
        <v>70.3125</v>
      </c>
      <c r="G25">
        <v>8</v>
      </c>
      <c r="H25">
        <v>1</v>
      </c>
      <c r="I25">
        <f t="shared" si="2"/>
        <v>7.75</v>
      </c>
      <c r="J25">
        <f t="shared" si="3"/>
        <v>64.583333333333343</v>
      </c>
      <c r="K25">
        <v>11</v>
      </c>
      <c r="L25">
        <v>3</v>
      </c>
      <c r="M25">
        <f t="shared" si="4"/>
        <v>10.25</v>
      </c>
      <c r="N25">
        <f t="shared" si="5"/>
        <v>64.0625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13</v>
      </c>
      <c r="T25">
        <v>1</v>
      </c>
      <c r="U25">
        <f t="shared" si="8"/>
        <v>12.75</v>
      </c>
      <c r="V25">
        <f t="shared" si="9"/>
        <v>79.6875</v>
      </c>
      <c r="W25">
        <f t="shared" si="10"/>
        <v>42</v>
      </c>
      <c r="X25">
        <f t="shared" si="11"/>
        <v>70</v>
      </c>
      <c r="Y25">
        <f t="shared" si="12"/>
        <v>7</v>
      </c>
      <c r="Z25" s="21">
        <v>7</v>
      </c>
      <c r="AA25" s="21">
        <v>9</v>
      </c>
      <c r="AB25" s="21">
        <v>4</v>
      </c>
      <c r="AC25" s="20"/>
      <c r="AD25" s="21">
        <v>7</v>
      </c>
      <c r="AE25">
        <f t="shared" si="13"/>
        <v>69</v>
      </c>
      <c r="AF25">
        <f t="shared" si="14"/>
        <v>7</v>
      </c>
    </row>
    <row r="26" spans="1:32" ht="28.8">
      <c r="A26" s="10" t="s">
        <v>81</v>
      </c>
      <c r="B26" s="10" t="s">
        <v>82</v>
      </c>
      <c r="E26">
        <f t="shared" si="0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4"/>
        <v>0</v>
      </c>
      <c r="N26">
        <f t="shared" si="5"/>
        <v>0</v>
      </c>
      <c r="Q26">
        <f t="shared" si="6"/>
        <v>0</v>
      </c>
      <c r="R26">
        <f t="shared" si="7"/>
        <v>0</v>
      </c>
      <c r="U26">
        <f t="shared" si="8"/>
        <v>0</v>
      </c>
      <c r="V26">
        <f t="shared" si="9"/>
        <v>0</v>
      </c>
      <c r="W26">
        <f t="shared" si="10"/>
        <v>0</v>
      </c>
      <c r="X26">
        <f t="shared" si="11"/>
        <v>0</v>
      </c>
      <c r="Y26">
        <f t="shared" si="12"/>
        <v>18</v>
      </c>
      <c r="AE26">
        <f t="shared" si="13"/>
        <v>0</v>
      </c>
      <c r="AF26">
        <f t="shared" si="14"/>
        <v>18</v>
      </c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H1" t="s">
        <v>89</v>
      </c>
      <c r="I1" t="s">
        <v>84</v>
      </c>
      <c r="J1" t="s">
        <v>90</v>
      </c>
      <c r="K1" t="s">
        <v>86</v>
      </c>
      <c r="L1" t="s">
        <v>91</v>
      </c>
      <c r="M1" t="s">
        <v>88</v>
      </c>
      <c r="O1" t="s">
        <v>92</v>
      </c>
      <c r="P1" t="s">
        <v>84</v>
      </c>
      <c r="Q1" t="s">
        <v>93</v>
      </c>
      <c r="R1" t="s">
        <v>86</v>
      </c>
      <c r="S1" t="s">
        <v>94</v>
      </c>
      <c r="T1" t="s">
        <v>88</v>
      </c>
      <c r="V1" t="s">
        <v>95</v>
      </c>
      <c r="W1" t="s">
        <v>84</v>
      </c>
      <c r="X1" t="s">
        <v>96</v>
      </c>
      <c r="Y1" t="s">
        <v>86</v>
      </c>
      <c r="Z1" t="s">
        <v>97</v>
      </c>
      <c r="AA1" t="s">
        <v>88</v>
      </c>
      <c r="AC1" t="s">
        <v>98</v>
      </c>
      <c r="AD1" t="s">
        <v>84</v>
      </c>
      <c r="AE1" t="s">
        <v>99</v>
      </c>
      <c r="AF1" t="s">
        <v>86</v>
      </c>
      <c r="AG1" t="s">
        <v>100</v>
      </c>
      <c r="AH1" t="s">
        <v>88</v>
      </c>
    </row>
    <row r="2" spans="1:34">
      <c r="A2" t="s">
        <v>101</v>
      </c>
      <c r="B2">
        <v>16</v>
      </c>
      <c r="C2" t="s">
        <v>102</v>
      </c>
      <c r="D2">
        <v>7</v>
      </c>
      <c r="E2" t="s">
        <v>103</v>
      </c>
      <c r="F2">
        <v>8</v>
      </c>
      <c r="H2" t="s">
        <v>104</v>
      </c>
      <c r="I2">
        <v>15</v>
      </c>
      <c r="J2" t="s">
        <v>105</v>
      </c>
      <c r="K2">
        <v>11</v>
      </c>
      <c r="L2" t="s">
        <v>106</v>
      </c>
      <c r="M2">
        <v>8</v>
      </c>
      <c r="O2" t="s">
        <v>107</v>
      </c>
      <c r="P2">
        <v>17</v>
      </c>
      <c r="Q2" t="s">
        <v>108</v>
      </c>
      <c r="R2">
        <v>6</v>
      </c>
      <c r="S2" t="s">
        <v>109</v>
      </c>
      <c r="T2">
        <v>14</v>
      </c>
      <c r="V2" t="s">
        <v>110</v>
      </c>
      <c r="W2">
        <v>2</v>
      </c>
      <c r="X2" t="s">
        <v>111</v>
      </c>
      <c r="Y2">
        <v>17</v>
      </c>
      <c r="Z2" t="s">
        <v>112</v>
      </c>
      <c r="AA2">
        <v>2</v>
      </c>
      <c r="AC2" t="s">
        <v>113</v>
      </c>
      <c r="AD2">
        <v>15</v>
      </c>
      <c r="AE2" t="s">
        <v>114</v>
      </c>
      <c r="AF2">
        <v>10</v>
      </c>
      <c r="AG2" t="s">
        <v>115</v>
      </c>
      <c r="AH2">
        <v>6</v>
      </c>
    </row>
    <row r="3" spans="1:34">
      <c r="A3" t="s">
        <v>116</v>
      </c>
      <c r="B3">
        <v>16</v>
      </c>
      <c r="C3" t="s">
        <v>117</v>
      </c>
      <c r="D3">
        <v>6</v>
      </c>
      <c r="E3" t="s">
        <v>102</v>
      </c>
      <c r="F3">
        <v>5</v>
      </c>
      <c r="H3" t="s">
        <v>118</v>
      </c>
      <c r="I3">
        <v>15</v>
      </c>
      <c r="J3" t="s">
        <v>119</v>
      </c>
      <c r="K3">
        <v>8</v>
      </c>
      <c r="L3" t="s">
        <v>120</v>
      </c>
      <c r="M3">
        <v>5</v>
      </c>
      <c r="O3" t="s">
        <v>121</v>
      </c>
      <c r="P3">
        <v>17</v>
      </c>
      <c r="Q3" t="s">
        <v>122</v>
      </c>
      <c r="R3">
        <v>4</v>
      </c>
      <c r="S3" t="s">
        <v>123</v>
      </c>
      <c r="T3">
        <v>11</v>
      </c>
      <c r="V3" t="s">
        <v>124</v>
      </c>
      <c r="W3">
        <v>2</v>
      </c>
      <c r="X3" t="s">
        <v>125</v>
      </c>
      <c r="Y3">
        <v>16</v>
      </c>
      <c r="Z3" t="s">
        <v>126</v>
      </c>
      <c r="AA3">
        <v>1</v>
      </c>
      <c r="AC3" t="s">
        <v>127</v>
      </c>
      <c r="AD3">
        <v>15</v>
      </c>
      <c r="AE3" t="s">
        <v>128</v>
      </c>
      <c r="AF3">
        <v>6</v>
      </c>
      <c r="AG3" t="s">
        <v>114</v>
      </c>
      <c r="AH3">
        <v>4</v>
      </c>
    </row>
    <row r="4" spans="1:34">
      <c r="A4" t="s">
        <v>129</v>
      </c>
      <c r="B4">
        <v>15</v>
      </c>
      <c r="C4" t="s">
        <v>130</v>
      </c>
      <c r="D4">
        <v>2</v>
      </c>
      <c r="E4" t="s">
        <v>131</v>
      </c>
      <c r="F4">
        <v>4</v>
      </c>
      <c r="H4" t="s">
        <v>132</v>
      </c>
      <c r="I4">
        <v>15</v>
      </c>
      <c r="J4" t="s">
        <v>106</v>
      </c>
      <c r="K4">
        <v>6</v>
      </c>
      <c r="L4" t="s">
        <v>133</v>
      </c>
      <c r="M4">
        <v>4</v>
      </c>
      <c r="O4" t="s">
        <v>134</v>
      </c>
      <c r="P4">
        <v>16</v>
      </c>
      <c r="Q4" t="s">
        <v>135</v>
      </c>
      <c r="R4">
        <v>3</v>
      </c>
      <c r="S4" t="s">
        <v>136</v>
      </c>
      <c r="T4">
        <v>10</v>
      </c>
      <c r="V4" t="s">
        <v>137</v>
      </c>
      <c r="W4">
        <v>2</v>
      </c>
      <c r="X4" t="s">
        <v>138</v>
      </c>
      <c r="Y4">
        <v>16</v>
      </c>
      <c r="Z4" t="s">
        <v>139</v>
      </c>
      <c r="AA4">
        <v>1</v>
      </c>
      <c r="AC4" t="s">
        <v>140</v>
      </c>
      <c r="AD4">
        <v>15</v>
      </c>
      <c r="AE4" t="s">
        <v>141</v>
      </c>
      <c r="AF4">
        <v>5</v>
      </c>
      <c r="AG4" t="s">
        <v>141</v>
      </c>
      <c r="AH4">
        <v>3</v>
      </c>
    </row>
    <row r="5" spans="1:34">
      <c r="A5" t="s">
        <v>142</v>
      </c>
      <c r="B5">
        <v>15</v>
      </c>
      <c r="C5" t="s">
        <v>142</v>
      </c>
      <c r="D5">
        <v>2</v>
      </c>
      <c r="E5" t="s">
        <v>143</v>
      </c>
      <c r="F5">
        <v>4</v>
      </c>
      <c r="H5" t="s">
        <v>144</v>
      </c>
      <c r="I5">
        <v>14</v>
      </c>
      <c r="J5" t="s">
        <v>133</v>
      </c>
      <c r="K5">
        <v>5</v>
      </c>
      <c r="L5" t="s">
        <v>145</v>
      </c>
      <c r="M5">
        <v>4</v>
      </c>
      <c r="O5" t="s">
        <v>146</v>
      </c>
      <c r="P5">
        <v>16</v>
      </c>
      <c r="Q5" t="s">
        <v>123</v>
      </c>
      <c r="R5">
        <v>2</v>
      </c>
      <c r="S5" t="s">
        <v>147</v>
      </c>
      <c r="T5">
        <v>6</v>
      </c>
      <c r="V5" t="s">
        <v>126</v>
      </c>
      <c r="W5">
        <v>1</v>
      </c>
      <c r="X5" t="s">
        <v>148</v>
      </c>
      <c r="Y5">
        <v>16</v>
      </c>
      <c r="Z5" t="s">
        <v>149</v>
      </c>
      <c r="AA5">
        <v>1</v>
      </c>
      <c r="AC5" t="s">
        <v>150</v>
      </c>
      <c r="AD5">
        <v>15</v>
      </c>
      <c r="AE5" t="s">
        <v>151</v>
      </c>
      <c r="AF5">
        <v>4</v>
      </c>
      <c r="AG5" t="s">
        <v>152</v>
      </c>
      <c r="AH5">
        <v>2</v>
      </c>
    </row>
    <row r="6" spans="1:34">
      <c r="A6" t="s">
        <v>153</v>
      </c>
      <c r="B6">
        <v>15</v>
      </c>
      <c r="C6" t="s">
        <v>154</v>
      </c>
      <c r="D6">
        <v>2</v>
      </c>
      <c r="E6" t="s">
        <v>117</v>
      </c>
      <c r="F6">
        <v>3</v>
      </c>
      <c r="H6" t="s">
        <v>155</v>
      </c>
      <c r="I6">
        <v>12</v>
      </c>
      <c r="J6" t="s">
        <v>145</v>
      </c>
      <c r="K6">
        <v>5</v>
      </c>
      <c r="L6" t="s">
        <v>156</v>
      </c>
      <c r="M6">
        <v>4</v>
      </c>
      <c r="O6" t="s">
        <v>157</v>
      </c>
      <c r="P6">
        <v>15</v>
      </c>
      <c r="Q6" t="s">
        <v>158</v>
      </c>
      <c r="R6">
        <v>2</v>
      </c>
      <c r="S6" t="s">
        <v>108</v>
      </c>
      <c r="T6">
        <v>4</v>
      </c>
      <c r="V6" t="s">
        <v>139</v>
      </c>
      <c r="W6">
        <v>1</v>
      </c>
      <c r="X6" t="s">
        <v>159</v>
      </c>
      <c r="Y6">
        <v>16</v>
      </c>
      <c r="Z6" t="s">
        <v>160</v>
      </c>
      <c r="AA6">
        <v>1</v>
      </c>
      <c r="AC6" t="s">
        <v>161</v>
      </c>
      <c r="AD6">
        <v>14</v>
      </c>
      <c r="AE6" t="s">
        <v>162</v>
      </c>
      <c r="AF6">
        <v>4</v>
      </c>
      <c r="AG6" t="s">
        <v>163</v>
      </c>
      <c r="AH6">
        <v>2</v>
      </c>
    </row>
    <row r="7" spans="1:34">
      <c r="A7" t="s">
        <v>164</v>
      </c>
      <c r="B7">
        <v>15</v>
      </c>
      <c r="C7" t="s">
        <v>164</v>
      </c>
      <c r="D7">
        <v>2</v>
      </c>
      <c r="E7" t="s">
        <v>153</v>
      </c>
      <c r="F7">
        <v>2</v>
      </c>
      <c r="H7" t="s">
        <v>120</v>
      </c>
      <c r="I7">
        <v>11</v>
      </c>
      <c r="J7" t="s">
        <v>156</v>
      </c>
      <c r="K7">
        <v>3</v>
      </c>
      <c r="L7" t="s">
        <v>105</v>
      </c>
      <c r="M7">
        <v>4</v>
      </c>
      <c r="O7" t="s">
        <v>158</v>
      </c>
      <c r="P7">
        <v>15</v>
      </c>
      <c r="Q7" t="s">
        <v>165</v>
      </c>
      <c r="R7">
        <v>2</v>
      </c>
      <c r="S7" t="s">
        <v>135</v>
      </c>
      <c r="T7">
        <v>3</v>
      </c>
      <c r="V7" t="s">
        <v>149</v>
      </c>
      <c r="W7">
        <v>1</v>
      </c>
      <c r="X7" t="s">
        <v>166</v>
      </c>
      <c r="Y7">
        <v>16</v>
      </c>
      <c r="Z7" t="s">
        <v>167</v>
      </c>
      <c r="AA7">
        <v>1</v>
      </c>
      <c r="AC7" t="s">
        <v>168</v>
      </c>
      <c r="AD7">
        <v>14</v>
      </c>
      <c r="AE7" t="s">
        <v>161</v>
      </c>
      <c r="AF7">
        <v>3</v>
      </c>
      <c r="AG7" t="s">
        <v>169</v>
      </c>
      <c r="AH7">
        <v>2</v>
      </c>
    </row>
    <row r="8" spans="1:34">
      <c r="A8" t="s">
        <v>170</v>
      </c>
      <c r="B8">
        <v>15</v>
      </c>
      <c r="C8" t="s">
        <v>129</v>
      </c>
      <c r="D8">
        <v>1</v>
      </c>
      <c r="E8" t="s">
        <v>170</v>
      </c>
      <c r="F8">
        <v>2</v>
      </c>
      <c r="H8" t="s">
        <v>156</v>
      </c>
      <c r="I8">
        <v>10</v>
      </c>
      <c r="J8" t="s">
        <v>132</v>
      </c>
      <c r="K8">
        <v>2</v>
      </c>
      <c r="L8" t="s">
        <v>155</v>
      </c>
      <c r="M8">
        <v>4</v>
      </c>
      <c r="O8" t="s">
        <v>171</v>
      </c>
      <c r="P8">
        <v>15</v>
      </c>
      <c r="Q8" t="s">
        <v>172</v>
      </c>
      <c r="R8">
        <v>2</v>
      </c>
      <c r="S8" t="s">
        <v>172</v>
      </c>
      <c r="T8">
        <v>3</v>
      </c>
      <c r="V8" t="s">
        <v>125</v>
      </c>
      <c r="W8">
        <v>1</v>
      </c>
      <c r="X8" t="s">
        <v>126</v>
      </c>
      <c r="Y8">
        <v>15</v>
      </c>
      <c r="Z8" t="s">
        <v>173</v>
      </c>
      <c r="AA8">
        <v>1</v>
      </c>
      <c r="AC8" t="s">
        <v>174</v>
      </c>
      <c r="AD8">
        <v>14</v>
      </c>
      <c r="AE8" t="s">
        <v>163</v>
      </c>
      <c r="AF8">
        <v>3</v>
      </c>
      <c r="AG8" t="s">
        <v>128</v>
      </c>
      <c r="AH8">
        <v>2</v>
      </c>
    </row>
    <row r="9" spans="1:34">
      <c r="A9" t="s">
        <v>175</v>
      </c>
      <c r="B9">
        <v>15</v>
      </c>
      <c r="C9" t="s">
        <v>103</v>
      </c>
      <c r="D9">
        <v>1</v>
      </c>
      <c r="E9" t="s">
        <v>175</v>
      </c>
      <c r="F9">
        <v>2</v>
      </c>
      <c r="H9" t="s">
        <v>133</v>
      </c>
      <c r="I9">
        <v>8</v>
      </c>
      <c r="J9" t="s">
        <v>104</v>
      </c>
      <c r="K9">
        <v>1</v>
      </c>
      <c r="L9" t="s">
        <v>144</v>
      </c>
      <c r="M9">
        <v>3</v>
      </c>
      <c r="O9" t="s">
        <v>165</v>
      </c>
      <c r="P9">
        <v>13</v>
      </c>
      <c r="Q9" t="s">
        <v>157</v>
      </c>
      <c r="R9">
        <v>1</v>
      </c>
      <c r="S9" t="s">
        <v>171</v>
      </c>
      <c r="T9">
        <v>2</v>
      </c>
      <c r="V9" t="s">
        <v>160</v>
      </c>
      <c r="W9">
        <v>1</v>
      </c>
      <c r="X9" t="s">
        <v>139</v>
      </c>
      <c r="Y9">
        <v>15</v>
      </c>
      <c r="Z9" t="s">
        <v>111</v>
      </c>
      <c r="AA9">
        <v>0</v>
      </c>
      <c r="AC9" t="s">
        <v>151</v>
      </c>
      <c r="AD9">
        <v>13</v>
      </c>
      <c r="AE9" t="s">
        <v>168</v>
      </c>
      <c r="AF9">
        <v>2</v>
      </c>
      <c r="AG9" t="s">
        <v>168</v>
      </c>
      <c r="AH9">
        <v>1</v>
      </c>
    </row>
    <row r="10" spans="1:34">
      <c r="A10" t="s">
        <v>176</v>
      </c>
      <c r="B10">
        <v>15</v>
      </c>
      <c r="C10" t="s">
        <v>131</v>
      </c>
      <c r="D10">
        <v>0</v>
      </c>
      <c r="E10" t="s">
        <v>176</v>
      </c>
      <c r="F10">
        <v>2</v>
      </c>
      <c r="H10" t="s">
        <v>145</v>
      </c>
      <c r="I10">
        <v>8</v>
      </c>
      <c r="J10" t="s">
        <v>120</v>
      </c>
      <c r="K10">
        <v>1</v>
      </c>
      <c r="L10" t="s">
        <v>119</v>
      </c>
      <c r="M10">
        <v>2</v>
      </c>
      <c r="O10" t="s">
        <v>172</v>
      </c>
      <c r="P10">
        <v>12</v>
      </c>
      <c r="Q10" t="s">
        <v>109</v>
      </c>
      <c r="R10">
        <v>1</v>
      </c>
      <c r="S10" t="s">
        <v>165</v>
      </c>
      <c r="T10">
        <v>2</v>
      </c>
      <c r="V10" t="s">
        <v>167</v>
      </c>
      <c r="W10">
        <v>1</v>
      </c>
      <c r="X10" t="s">
        <v>149</v>
      </c>
      <c r="Y10">
        <v>15</v>
      </c>
      <c r="Z10" t="s">
        <v>110</v>
      </c>
      <c r="AA10">
        <v>0</v>
      </c>
      <c r="AC10" t="s">
        <v>152</v>
      </c>
      <c r="AD10">
        <v>13</v>
      </c>
      <c r="AE10" t="s">
        <v>113</v>
      </c>
      <c r="AF10">
        <v>2</v>
      </c>
      <c r="AG10" t="s">
        <v>174</v>
      </c>
      <c r="AH10">
        <v>1</v>
      </c>
    </row>
    <row r="11" spans="1:34">
      <c r="A11" t="s">
        <v>130</v>
      </c>
      <c r="B11">
        <v>14</v>
      </c>
      <c r="C11" t="s">
        <v>153</v>
      </c>
      <c r="D11">
        <v>0</v>
      </c>
      <c r="E11" t="s">
        <v>130</v>
      </c>
      <c r="F11">
        <v>1</v>
      </c>
      <c r="H11" t="s">
        <v>119</v>
      </c>
      <c r="I11">
        <v>7</v>
      </c>
      <c r="J11" t="s">
        <v>155</v>
      </c>
      <c r="K11">
        <v>1</v>
      </c>
      <c r="L11" t="s">
        <v>118</v>
      </c>
      <c r="M11">
        <v>2</v>
      </c>
      <c r="O11" t="s">
        <v>122</v>
      </c>
      <c r="P11">
        <v>12</v>
      </c>
      <c r="Q11" t="s">
        <v>147</v>
      </c>
      <c r="R11">
        <v>1</v>
      </c>
      <c r="S11" t="s">
        <v>157</v>
      </c>
      <c r="T11">
        <v>1</v>
      </c>
      <c r="V11" t="s">
        <v>138</v>
      </c>
      <c r="W11">
        <v>1</v>
      </c>
      <c r="X11" t="s">
        <v>110</v>
      </c>
      <c r="Y11">
        <v>15</v>
      </c>
      <c r="Z11" t="s">
        <v>125</v>
      </c>
      <c r="AA11">
        <v>0</v>
      </c>
      <c r="AC11" t="s">
        <v>169</v>
      </c>
      <c r="AD11">
        <v>13</v>
      </c>
      <c r="AE11" t="s">
        <v>174</v>
      </c>
      <c r="AF11">
        <v>2</v>
      </c>
      <c r="AG11" t="s">
        <v>162</v>
      </c>
      <c r="AH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48" width="7" customWidth="1"/>
    <col min="49" max="49" width="6" customWidth="1"/>
    <col min="50" max="78" width="7" customWidth="1"/>
  </cols>
  <sheetData>
    <row r="1" spans="1:78">
      <c r="A1" s="14" t="s">
        <v>177</v>
      </c>
      <c r="B1" s="14" t="s">
        <v>1</v>
      </c>
      <c r="C1" s="14" t="s">
        <v>131</v>
      </c>
      <c r="D1" s="14" t="s">
        <v>170</v>
      </c>
      <c r="E1" s="14" t="s">
        <v>101</v>
      </c>
      <c r="F1" s="14" t="s">
        <v>175</v>
      </c>
      <c r="G1" s="14" t="s">
        <v>116</v>
      </c>
      <c r="H1" s="14" t="s">
        <v>176</v>
      </c>
      <c r="I1" s="14" t="s">
        <v>103</v>
      </c>
      <c r="J1" s="14" t="s">
        <v>102</v>
      </c>
      <c r="K1" s="14" t="s">
        <v>143</v>
      </c>
      <c r="L1" s="14" t="s">
        <v>130</v>
      </c>
      <c r="M1" s="14" t="s">
        <v>129</v>
      </c>
      <c r="N1" s="14" t="s">
        <v>142</v>
      </c>
      <c r="O1" s="14" t="s">
        <v>153</v>
      </c>
      <c r="P1" s="14" t="s">
        <v>154</v>
      </c>
      <c r="Q1" s="14" t="s">
        <v>117</v>
      </c>
      <c r="R1" s="14" t="s">
        <v>164</v>
      </c>
      <c r="S1" s="14" t="s">
        <v>106</v>
      </c>
      <c r="T1" s="14" t="s">
        <v>104</v>
      </c>
      <c r="U1" s="14" t="s">
        <v>133</v>
      </c>
      <c r="V1" s="14" t="s">
        <v>145</v>
      </c>
      <c r="W1" s="14" t="s">
        <v>119</v>
      </c>
      <c r="X1" s="14" t="s">
        <v>156</v>
      </c>
      <c r="Y1" s="14" t="s">
        <v>105</v>
      </c>
      <c r="Z1" s="14" t="s">
        <v>144</v>
      </c>
      <c r="AA1" s="14" t="s">
        <v>118</v>
      </c>
      <c r="AB1" s="14" t="s">
        <v>132</v>
      </c>
      <c r="AC1" s="14" t="s">
        <v>120</v>
      </c>
      <c r="AD1" s="14" t="s">
        <v>155</v>
      </c>
      <c r="AE1" s="14" t="s">
        <v>157</v>
      </c>
      <c r="AF1" s="14" t="s">
        <v>123</v>
      </c>
      <c r="AG1" s="14" t="s">
        <v>136</v>
      </c>
      <c r="AH1" s="14" t="s">
        <v>109</v>
      </c>
      <c r="AI1" s="14" t="s">
        <v>158</v>
      </c>
      <c r="AJ1" s="14" t="s">
        <v>134</v>
      </c>
      <c r="AK1" s="14" t="s">
        <v>146</v>
      </c>
      <c r="AL1" s="14" t="s">
        <v>135</v>
      </c>
      <c r="AM1" s="14" t="s">
        <v>171</v>
      </c>
      <c r="AN1" s="14" t="s">
        <v>165</v>
      </c>
      <c r="AO1" s="14" t="s">
        <v>108</v>
      </c>
      <c r="AP1" s="14" t="s">
        <v>107</v>
      </c>
      <c r="AQ1" s="14" t="s">
        <v>121</v>
      </c>
      <c r="AR1" s="14" t="s">
        <v>147</v>
      </c>
      <c r="AS1" s="14" t="s">
        <v>172</v>
      </c>
      <c r="AT1" s="14" t="s">
        <v>122</v>
      </c>
      <c r="AU1" s="14" t="s">
        <v>126</v>
      </c>
      <c r="AV1" s="14" t="s">
        <v>139</v>
      </c>
      <c r="AW1" s="14" t="s">
        <v>111</v>
      </c>
      <c r="AX1" s="14" t="s">
        <v>149</v>
      </c>
      <c r="AY1" s="14" t="s">
        <v>110</v>
      </c>
      <c r="AZ1" s="14" t="s">
        <v>125</v>
      </c>
      <c r="BA1" s="14" t="s">
        <v>124</v>
      </c>
      <c r="BB1" s="14" t="s">
        <v>137</v>
      </c>
      <c r="BC1" s="14" t="s">
        <v>160</v>
      </c>
      <c r="BD1" s="14" t="s">
        <v>167</v>
      </c>
      <c r="BE1" s="14" t="s">
        <v>138</v>
      </c>
      <c r="BF1" s="14" t="s">
        <v>148</v>
      </c>
      <c r="BG1" s="14" t="s">
        <v>173</v>
      </c>
      <c r="BH1" s="14" t="s">
        <v>159</v>
      </c>
      <c r="BI1" s="14" t="s">
        <v>166</v>
      </c>
      <c r="BJ1" s="14" t="s">
        <v>112</v>
      </c>
      <c r="BK1" s="14" t="s">
        <v>161</v>
      </c>
      <c r="BL1" s="14" t="s">
        <v>168</v>
      </c>
      <c r="BM1" s="14" t="s">
        <v>113</v>
      </c>
      <c r="BN1" s="14" t="s">
        <v>151</v>
      </c>
      <c r="BO1" s="14" t="s">
        <v>174</v>
      </c>
      <c r="BP1" s="14" t="s">
        <v>127</v>
      </c>
      <c r="BQ1" s="14" t="s">
        <v>141</v>
      </c>
      <c r="BR1" s="14" t="s">
        <v>115</v>
      </c>
      <c r="BS1" s="14" t="s">
        <v>152</v>
      </c>
      <c r="BT1" s="14" t="s">
        <v>140</v>
      </c>
      <c r="BU1" s="14" t="s">
        <v>163</v>
      </c>
      <c r="BV1" s="14" t="s">
        <v>169</v>
      </c>
      <c r="BW1" s="14" t="s">
        <v>150</v>
      </c>
      <c r="BX1" s="14" t="s">
        <v>128</v>
      </c>
      <c r="BY1" s="14" t="s">
        <v>162</v>
      </c>
      <c r="BZ1" s="14" t="s">
        <v>114</v>
      </c>
    </row>
    <row r="2" spans="1:78">
      <c r="A2" s="15" t="s">
        <v>33</v>
      </c>
      <c r="B2" s="15" t="s">
        <v>34</v>
      </c>
    </row>
    <row r="3" spans="1:78">
      <c r="A3" s="15" t="s">
        <v>35</v>
      </c>
      <c r="B3" s="15" t="s">
        <v>36</v>
      </c>
      <c r="C3" s="16" t="s">
        <v>178</v>
      </c>
      <c r="D3" s="17" t="s">
        <v>179</v>
      </c>
      <c r="E3" s="16" t="s">
        <v>180</v>
      </c>
      <c r="F3" s="16" t="s">
        <v>181</v>
      </c>
      <c r="G3" s="16" t="s">
        <v>181</v>
      </c>
      <c r="H3" s="16" t="s">
        <v>181</v>
      </c>
      <c r="I3" s="16" t="s">
        <v>181</v>
      </c>
      <c r="J3" s="18"/>
      <c r="K3" s="16" t="s">
        <v>181</v>
      </c>
      <c r="L3" s="16" t="s">
        <v>182</v>
      </c>
      <c r="M3" s="17" t="s">
        <v>183</v>
      </c>
      <c r="N3" s="16" t="s">
        <v>182</v>
      </c>
      <c r="O3" s="17" t="s">
        <v>184</v>
      </c>
      <c r="P3" s="16" t="s">
        <v>180</v>
      </c>
      <c r="Q3" s="17" t="s">
        <v>183</v>
      </c>
      <c r="R3" s="16" t="s">
        <v>178</v>
      </c>
      <c r="S3" s="17" t="s">
        <v>183</v>
      </c>
      <c r="T3" s="16" t="s">
        <v>181</v>
      </c>
      <c r="U3" s="16" t="s">
        <v>178</v>
      </c>
      <c r="V3" s="17" t="s">
        <v>184</v>
      </c>
      <c r="W3" s="16" t="s">
        <v>180</v>
      </c>
      <c r="X3" s="16" t="s">
        <v>182</v>
      </c>
      <c r="Y3" s="18"/>
      <c r="Z3" s="16" t="s">
        <v>180</v>
      </c>
      <c r="AA3" s="16" t="s">
        <v>181</v>
      </c>
      <c r="AB3" s="16" t="s">
        <v>178</v>
      </c>
      <c r="AC3" s="16" t="s">
        <v>180</v>
      </c>
      <c r="AD3" s="17" t="s">
        <v>184</v>
      </c>
      <c r="AE3" s="16" t="s">
        <v>178</v>
      </c>
      <c r="AF3" s="17" t="s">
        <v>179</v>
      </c>
      <c r="AG3" s="17" t="s">
        <v>184</v>
      </c>
      <c r="AH3" s="17" t="s">
        <v>185</v>
      </c>
      <c r="AI3" s="16" t="s">
        <v>181</v>
      </c>
      <c r="AJ3" s="16" t="s">
        <v>181</v>
      </c>
      <c r="AK3" s="16" t="s">
        <v>180</v>
      </c>
      <c r="AL3" s="16" t="s">
        <v>178</v>
      </c>
      <c r="AM3" s="16" t="s">
        <v>181</v>
      </c>
      <c r="AN3" s="16" t="s">
        <v>181</v>
      </c>
      <c r="AO3" s="18"/>
      <c r="AP3" s="16" t="s">
        <v>180</v>
      </c>
      <c r="AQ3" s="16" t="s">
        <v>181</v>
      </c>
      <c r="AR3" s="17" t="s">
        <v>179</v>
      </c>
      <c r="AS3" s="16" t="s">
        <v>180</v>
      </c>
      <c r="AT3" s="16" t="s">
        <v>178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6" t="s">
        <v>181</v>
      </c>
      <c r="BL3" s="16" t="s">
        <v>180</v>
      </c>
      <c r="BM3" s="16" t="s">
        <v>180</v>
      </c>
      <c r="BN3" s="16" t="s">
        <v>181</v>
      </c>
      <c r="BO3" s="16" t="s">
        <v>181</v>
      </c>
      <c r="BP3" s="16" t="s">
        <v>181</v>
      </c>
      <c r="BQ3" s="16" t="s">
        <v>178</v>
      </c>
      <c r="BR3" s="16" t="s">
        <v>178</v>
      </c>
      <c r="BS3" s="16" t="s">
        <v>178</v>
      </c>
      <c r="BT3" s="16" t="s">
        <v>181</v>
      </c>
      <c r="BU3" s="16" t="s">
        <v>181</v>
      </c>
      <c r="BV3" s="16" t="s">
        <v>182</v>
      </c>
      <c r="BW3" s="16" t="s">
        <v>181</v>
      </c>
      <c r="BX3" s="17" t="s">
        <v>179</v>
      </c>
      <c r="BY3" s="16" t="s">
        <v>181</v>
      </c>
      <c r="BZ3" s="18"/>
    </row>
    <row r="4" spans="1:78">
      <c r="A4" s="15" t="s">
        <v>37</v>
      </c>
      <c r="B4" s="15" t="s">
        <v>38</v>
      </c>
      <c r="C4" s="16" t="s">
        <v>178</v>
      </c>
      <c r="D4" s="16" t="s">
        <v>181</v>
      </c>
      <c r="E4" s="16" t="s">
        <v>180</v>
      </c>
      <c r="F4" s="16" t="s">
        <v>181</v>
      </c>
      <c r="G4" s="16" t="s">
        <v>181</v>
      </c>
      <c r="H4" s="16" t="s">
        <v>181</v>
      </c>
      <c r="I4" s="17" t="s">
        <v>179</v>
      </c>
      <c r="J4" s="17" t="s">
        <v>185</v>
      </c>
      <c r="K4" s="16" t="s">
        <v>181</v>
      </c>
      <c r="L4" s="16" t="s">
        <v>182</v>
      </c>
      <c r="M4" s="16" t="s">
        <v>180</v>
      </c>
      <c r="N4" s="16" t="s">
        <v>182</v>
      </c>
      <c r="O4" s="16" t="s">
        <v>180</v>
      </c>
      <c r="P4" s="16" t="s">
        <v>180</v>
      </c>
      <c r="Q4" s="16" t="s">
        <v>180</v>
      </c>
      <c r="R4" s="16" t="s">
        <v>178</v>
      </c>
      <c r="S4" s="17" t="s">
        <v>183</v>
      </c>
      <c r="T4" s="16" t="s">
        <v>181</v>
      </c>
      <c r="U4" s="16" t="s">
        <v>178</v>
      </c>
      <c r="V4" s="16" t="s">
        <v>182</v>
      </c>
      <c r="W4" s="16" t="s">
        <v>180</v>
      </c>
      <c r="X4" s="17" t="s">
        <v>185</v>
      </c>
      <c r="Y4" s="17" t="s">
        <v>184</v>
      </c>
      <c r="Z4" s="16" t="s">
        <v>180</v>
      </c>
      <c r="AA4" s="16" t="s">
        <v>181</v>
      </c>
      <c r="AB4" s="16" t="s">
        <v>178</v>
      </c>
      <c r="AC4" s="16" t="s">
        <v>180</v>
      </c>
      <c r="AD4" s="16" t="s">
        <v>181</v>
      </c>
      <c r="AE4" s="17" t="s">
        <v>179</v>
      </c>
      <c r="AF4" s="17" t="s">
        <v>184</v>
      </c>
      <c r="AG4" s="17" t="s">
        <v>184</v>
      </c>
      <c r="AH4" s="17" t="s">
        <v>184</v>
      </c>
      <c r="AI4" s="16" t="s">
        <v>181</v>
      </c>
      <c r="AJ4" s="16" t="s">
        <v>181</v>
      </c>
      <c r="AK4" s="16" t="s">
        <v>180</v>
      </c>
      <c r="AL4" s="16" t="s">
        <v>178</v>
      </c>
      <c r="AM4" s="17" t="s">
        <v>183</v>
      </c>
      <c r="AN4" s="17" t="s">
        <v>179</v>
      </c>
      <c r="AO4" s="17" t="s">
        <v>183</v>
      </c>
      <c r="AP4" s="16" t="s">
        <v>180</v>
      </c>
      <c r="AQ4" s="16" t="s">
        <v>181</v>
      </c>
      <c r="AR4" s="17" t="s">
        <v>179</v>
      </c>
      <c r="AS4" s="16" t="s">
        <v>180</v>
      </c>
      <c r="AT4" s="16" t="s">
        <v>178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6" t="s">
        <v>181</v>
      </c>
      <c r="BL4" s="16" t="s">
        <v>180</v>
      </c>
      <c r="BM4" s="16" t="s">
        <v>180</v>
      </c>
      <c r="BN4" s="16" t="s">
        <v>181</v>
      </c>
      <c r="BO4" s="16" t="s">
        <v>181</v>
      </c>
      <c r="BP4" s="16" t="s">
        <v>181</v>
      </c>
      <c r="BQ4" s="17" t="s">
        <v>185</v>
      </c>
      <c r="BR4" s="17" t="s">
        <v>179</v>
      </c>
      <c r="BS4" s="17" t="s">
        <v>179</v>
      </c>
      <c r="BT4" s="16" t="s">
        <v>181</v>
      </c>
      <c r="BU4" s="16" t="s">
        <v>181</v>
      </c>
      <c r="BV4" s="17" t="s">
        <v>185</v>
      </c>
      <c r="BW4" s="16" t="s">
        <v>181</v>
      </c>
      <c r="BX4" s="16" t="s">
        <v>178</v>
      </c>
      <c r="BY4" s="16" t="s">
        <v>181</v>
      </c>
      <c r="BZ4" s="17" t="s">
        <v>179</v>
      </c>
    </row>
    <row r="5" spans="1:78">
      <c r="A5" s="15" t="s">
        <v>39</v>
      </c>
      <c r="B5" s="15" t="s">
        <v>40</v>
      </c>
      <c r="C5" s="16" t="s">
        <v>178</v>
      </c>
      <c r="D5" s="16" t="s">
        <v>181</v>
      </c>
      <c r="E5" s="16" t="s">
        <v>180</v>
      </c>
      <c r="F5" s="16" t="s">
        <v>181</v>
      </c>
      <c r="G5" s="16" t="s">
        <v>181</v>
      </c>
      <c r="H5" s="16" t="s">
        <v>181</v>
      </c>
      <c r="I5" s="18"/>
      <c r="J5" s="18"/>
      <c r="K5" s="17" t="s">
        <v>179</v>
      </c>
      <c r="L5" s="16" t="s">
        <v>182</v>
      </c>
      <c r="M5" s="16" t="s">
        <v>180</v>
      </c>
      <c r="N5" s="16" t="s">
        <v>182</v>
      </c>
      <c r="O5" s="16" t="s">
        <v>180</v>
      </c>
      <c r="P5" s="16" t="s">
        <v>180</v>
      </c>
      <c r="Q5" s="18"/>
      <c r="R5" s="16" t="s">
        <v>178</v>
      </c>
      <c r="S5" s="18"/>
      <c r="T5" s="16" t="s">
        <v>181</v>
      </c>
      <c r="U5" s="18"/>
      <c r="V5" s="17" t="s">
        <v>179</v>
      </c>
      <c r="W5" s="18"/>
      <c r="X5" s="16" t="s">
        <v>182</v>
      </c>
      <c r="Y5" s="18"/>
      <c r="Z5" s="16" t="s">
        <v>180</v>
      </c>
      <c r="AA5" s="16" t="s">
        <v>181</v>
      </c>
      <c r="AB5" s="16" t="s">
        <v>178</v>
      </c>
      <c r="AC5" s="16" t="s">
        <v>180</v>
      </c>
      <c r="AD5" s="16" t="s">
        <v>181</v>
      </c>
      <c r="AE5" s="18"/>
      <c r="AF5" s="18"/>
      <c r="AG5" s="16" t="s">
        <v>181</v>
      </c>
      <c r="AH5" s="17" t="s">
        <v>185</v>
      </c>
      <c r="AI5" s="18"/>
      <c r="AJ5" s="17" t="s">
        <v>184</v>
      </c>
      <c r="AK5" s="16" t="s">
        <v>180</v>
      </c>
      <c r="AL5" s="17" t="s">
        <v>179</v>
      </c>
      <c r="AM5" s="16" t="s">
        <v>181</v>
      </c>
      <c r="AN5" s="16" t="s">
        <v>181</v>
      </c>
      <c r="AO5" s="18"/>
      <c r="AP5" s="16" t="s">
        <v>180</v>
      </c>
      <c r="AQ5" s="16" t="s">
        <v>181</v>
      </c>
      <c r="AR5" s="17" t="s">
        <v>179</v>
      </c>
      <c r="AS5" s="17" t="s">
        <v>183</v>
      </c>
      <c r="AT5" s="16" t="s">
        <v>178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6" t="s">
        <v>181</v>
      </c>
      <c r="BL5" s="17" t="s">
        <v>183</v>
      </c>
      <c r="BM5" s="16" t="s">
        <v>180</v>
      </c>
      <c r="BN5" s="18"/>
      <c r="BO5" s="16" t="s">
        <v>181</v>
      </c>
      <c r="BP5" s="16" t="s">
        <v>181</v>
      </c>
      <c r="BQ5" s="18"/>
      <c r="BR5" s="17" t="s">
        <v>179</v>
      </c>
      <c r="BS5" s="17" t="s">
        <v>183</v>
      </c>
      <c r="BT5" s="16" t="s">
        <v>181</v>
      </c>
      <c r="BU5" s="17" t="s">
        <v>184</v>
      </c>
      <c r="BV5" s="17" t="s">
        <v>179</v>
      </c>
      <c r="BW5" s="16" t="s">
        <v>181</v>
      </c>
      <c r="BX5" s="18"/>
      <c r="BY5" s="16" t="s">
        <v>181</v>
      </c>
      <c r="BZ5" s="18"/>
    </row>
    <row r="6" spans="1:78">
      <c r="A6" s="15" t="s">
        <v>41</v>
      </c>
      <c r="B6" s="15" t="s">
        <v>42</v>
      </c>
      <c r="C6" s="16" t="s">
        <v>178</v>
      </c>
      <c r="D6" s="16" t="s">
        <v>181</v>
      </c>
      <c r="E6" s="16" t="s">
        <v>180</v>
      </c>
      <c r="F6" s="16" t="s">
        <v>181</v>
      </c>
      <c r="G6" s="17" t="s">
        <v>179</v>
      </c>
      <c r="H6" s="16" t="s">
        <v>181</v>
      </c>
      <c r="I6" s="16" t="s">
        <v>181</v>
      </c>
      <c r="J6" s="16" t="s">
        <v>180</v>
      </c>
      <c r="K6" s="17" t="s">
        <v>179</v>
      </c>
      <c r="L6" s="17" t="s">
        <v>179</v>
      </c>
      <c r="M6" s="16" t="s">
        <v>180</v>
      </c>
      <c r="N6" s="16" t="s">
        <v>182</v>
      </c>
      <c r="O6" s="16" t="s">
        <v>180</v>
      </c>
      <c r="P6" s="18"/>
      <c r="Q6" s="18"/>
      <c r="R6" s="16" t="s">
        <v>178</v>
      </c>
      <c r="S6" s="17" t="s">
        <v>179</v>
      </c>
      <c r="T6" s="16" t="s">
        <v>181</v>
      </c>
      <c r="U6" s="18"/>
      <c r="V6" s="17" t="s">
        <v>185</v>
      </c>
      <c r="W6" s="18"/>
      <c r="X6" s="16" t="s">
        <v>182</v>
      </c>
      <c r="Y6" s="18"/>
      <c r="Z6" s="16" t="s">
        <v>180</v>
      </c>
      <c r="AA6" s="16" t="s">
        <v>181</v>
      </c>
      <c r="AB6" s="18"/>
      <c r="AC6" s="16" t="s">
        <v>180</v>
      </c>
      <c r="AD6" s="17" t="s">
        <v>183</v>
      </c>
      <c r="AE6" s="16" t="s">
        <v>178</v>
      </c>
      <c r="AF6" s="16" t="s">
        <v>181</v>
      </c>
      <c r="AG6" s="16" t="s">
        <v>181</v>
      </c>
      <c r="AH6" s="17" t="s">
        <v>184</v>
      </c>
      <c r="AI6" s="16" t="s">
        <v>181</v>
      </c>
      <c r="AJ6" s="16" t="s">
        <v>181</v>
      </c>
      <c r="AK6" s="16" t="s">
        <v>180</v>
      </c>
      <c r="AL6" s="16" t="s">
        <v>178</v>
      </c>
      <c r="AM6" s="16" t="s">
        <v>181</v>
      </c>
      <c r="AN6" s="16" t="s">
        <v>181</v>
      </c>
      <c r="AO6" s="17" t="s">
        <v>183</v>
      </c>
      <c r="AP6" s="16" t="s">
        <v>180</v>
      </c>
      <c r="AQ6" s="16" t="s">
        <v>181</v>
      </c>
      <c r="AR6" s="16" t="s">
        <v>182</v>
      </c>
      <c r="AS6" s="16" t="s">
        <v>180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6" t="s">
        <v>181</v>
      </c>
      <c r="BL6" s="16" t="s">
        <v>180</v>
      </c>
      <c r="BM6" s="16" t="s">
        <v>180</v>
      </c>
      <c r="BN6" s="16" t="s">
        <v>181</v>
      </c>
      <c r="BO6" s="16" t="s">
        <v>181</v>
      </c>
      <c r="BP6" s="16" t="s">
        <v>181</v>
      </c>
      <c r="BQ6" s="16" t="s">
        <v>178</v>
      </c>
      <c r="BR6" s="16" t="s">
        <v>178</v>
      </c>
      <c r="BS6" s="16" t="s">
        <v>178</v>
      </c>
      <c r="BT6" s="16" t="s">
        <v>181</v>
      </c>
      <c r="BU6" s="16" t="s">
        <v>181</v>
      </c>
      <c r="BV6" s="16" t="s">
        <v>182</v>
      </c>
      <c r="BW6" s="16" t="s">
        <v>181</v>
      </c>
      <c r="BX6" s="16" t="s">
        <v>178</v>
      </c>
      <c r="BY6" s="16" t="s">
        <v>181</v>
      </c>
      <c r="BZ6" s="18"/>
    </row>
    <row r="7" spans="1:78">
      <c r="A7" s="15" t="s">
        <v>43</v>
      </c>
      <c r="B7" s="15" t="s">
        <v>44</v>
      </c>
      <c r="C7" s="16" t="s">
        <v>178</v>
      </c>
      <c r="D7" s="16" t="s">
        <v>181</v>
      </c>
      <c r="E7" s="16" t="s">
        <v>180</v>
      </c>
      <c r="F7" s="16" t="s">
        <v>181</v>
      </c>
      <c r="G7" s="16" t="s">
        <v>181</v>
      </c>
      <c r="H7" s="16" t="s">
        <v>181</v>
      </c>
      <c r="I7" s="17" t="s">
        <v>179</v>
      </c>
      <c r="J7" s="18"/>
      <c r="K7" s="17" t="s">
        <v>183</v>
      </c>
      <c r="L7" s="16" t="s">
        <v>182</v>
      </c>
      <c r="M7" s="16" t="s">
        <v>180</v>
      </c>
      <c r="N7" s="16" t="s">
        <v>182</v>
      </c>
      <c r="O7" s="16" t="s">
        <v>180</v>
      </c>
      <c r="P7" s="16" t="s">
        <v>180</v>
      </c>
      <c r="Q7" s="16" t="s">
        <v>180</v>
      </c>
      <c r="R7" s="16" t="s">
        <v>178</v>
      </c>
      <c r="S7" s="17" t="s">
        <v>179</v>
      </c>
      <c r="T7" s="16" t="s">
        <v>181</v>
      </c>
      <c r="U7" s="17" t="s">
        <v>185</v>
      </c>
      <c r="V7" s="16" t="s">
        <v>182</v>
      </c>
      <c r="W7" s="18"/>
      <c r="X7" s="17" t="s">
        <v>184</v>
      </c>
      <c r="Y7" s="17" t="s">
        <v>184</v>
      </c>
      <c r="Z7" s="16" t="s">
        <v>180</v>
      </c>
      <c r="AA7" s="16" t="s">
        <v>181</v>
      </c>
      <c r="AB7" s="16" t="s">
        <v>178</v>
      </c>
      <c r="AC7" s="16" t="s">
        <v>180</v>
      </c>
      <c r="AD7" s="16" t="s">
        <v>181</v>
      </c>
      <c r="AE7" s="16" t="s">
        <v>178</v>
      </c>
      <c r="AF7" s="17" t="s">
        <v>184</v>
      </c>
      <c r="AG7" s="17" t="s">
        <v>184</v>
      </c>
      <c r="AH7" s="18"/>
      <c r="AI7" s="18"/>
      <c r="AJ7" s="16" t="s">
        <v>181</v>
      </c>
      <c r="AK7" s="16" t="s">
        <v>180</v>
      </c>
      <c r="AL7" s="17" t="s">
        <v>185</v>
      </c>
      <c r="AM7" s="16" t="s">
        <v>181</v>
      </c>
      <c r="AN7" s="18"/>
      <c r="AO7" s="16" t="s">
        <v>180</v>
      </c>
      <c r="AP7" s="16" t="s">
        <v>180</v>
      </c>
      <c r="AQ7" s="16" t="s">
        <v>181</v>
      </c>
      <c r="AR7" s="17" t="s">
        <v>179</v>
      </c>
      <c r="AS7" s="16" t="s">
        <v>180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6" t="s">
        <v>181</v>
      </c>
      <c r="BL7" s="16" t="s">
        <v>180</v>
      </c>
      <c r="BM7" s="16" t="s">
        <v>180</v>
      </c>
      <c r="BN7" s="16" t="s">
        <v>181</v>
      </c>
      <c r="BO7" s="16" t="s">
        <v>181</v>
      </c>
      <c r="BP7" s="16" t="s">
        <v>181</v>
      </c>
      <c r="BQ7" s="18"/>
      <c r="BR7" s="17" t="s">
        <v>179</v>
      </c>
      <c r="BS7" s="16" t="s">
        <v>178</v>
      </c>
      <c r="BT7" s="16" t="s">
        <v>181</v>
      </c>
      <c r="BU7" s="16" t="s">
        <v>181</v>
      </c>
      <c r="BV7" s="16" t="s">
        <v>182</v>
      </c>
      <c r="BW7" s="16" t="s">
        <v>181</v>
      </c>
      <c r="BX7" s="18"/>
      <c r="BY7" s="17" t="s">
        <v>179</v>
      </c>
      <c r="BZ7" s="18"/>
    </row>
    <row r="8" spans="1:78">
      <c r="A8" s="15" t="s">
        <v>45</v>
      </c>
      <c r="B8" s="15" t="s">
        <v>46</v>
      </c>
    </row>
    <row r="9" spans="1:78">
      <c r="A9" s="15" t="s">
        <v>47</v>
      </c>
      <c r="B9" s="15" t="s">
        <v>48</v>
      </c>
      <c r="C9" s="17" t="s">
        <v>179</v>
      </c>
      <c r="D9" s="16" t="s">
        <v>181</v>
      </c>
      <c r="E9" s="17" t="s">
        <v>184</v>
      </c>
      <c r="F9" s="17" t="s">
        <v>184</v>
      </c>
      <c r="G9" s="16" t="s">
        <v>181</v>
      </c>
      <c r="H9" s="16" t="s">
        <v>181</v>
      </c>
      <c r="I9" s="17" t="s">
        <v>179</v>
      </c>
      <c r="J9" s="18"/>
      <c r="K9" s="16" t="s">
        <v>181</v>
      </c>
      <c r="L9" s="18"/>
      <c r="M9" s="16" t="s">
        <v>180</v>
      </c>
      <c r="N9" s="16" t="s">
        <v>182</v>
      </c>
      <c r="O9" s="16" t="s">
        <v>180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7" t="s">
        <v>185</v>
      </c>
      <c r="AA9" s="17" t="s">
        <v>179</v>
      </c>
      <c r="AB9" s="18"/>
      <c r="AC9" s="17" t="s">
        <v>185</v>
      </c>
      <c r="AD9" s="17" t="s">
        <v>183</v>
      </c>
      <c r="AE9" s="16" t="s">
        <v>178</v>
      </c>
      <c r="AF9" s="17" t="s">
        <v>184</v>
      </c>
      <c r="AG9" s="17" t="s">
        <v>184</v>
      </c>
      <c r="AH9" s="17" t="s">
        <v>184</v>
      </c>
      <c r="AI9" s="16" t="s">
        <v>181</v>
      </c>
      <c r="AJ9" s="16" t="s">
        <v>181</v>
      </c>
      <c r="AK9" s="16" t="s">
        <v>180</v>
      </c>
      <c r="AL9" s="16" t="s">
        <v>178</v>
      </c>
      <c r="AM9" s="16" t="s">
        <v>181</v>
      </c>
      <c r="AN9" s="16" t="s">
        <v>181</v>
      </c>
      <c r="AO9" s="18"/>
      <c r="AP9" s="16" t="s">
        <v>180</v>
      </c>
      <c r="AQ9" s="16" t="s">
        <v>181</v>
      </c>
      <c r="AR9" s="16" t="s">
        <v>182</v>
      </c>
      <c r="AS9" s="18"/>
      <c r="AT9" s="18"/>
      <c r="AU9" s="17" t="s">
        <v>184</v>
      </c>
      <c r="AV9" s="17" t="s">
        <v>184</v>
      </c>
      <c r="AW9" s="18"/>
      <c r="AX9" s="17" t="s">
        <v>179</v>
      </c>
      <c r="AY9" s="16" t="s">
        <v>181</v>
      </c>
      <c r="AZ9" s="18"/>
      <c r="BA9" s="16" t="s">
        <v>180</v>
      </c>
      <c r="BB9" s="16" t="s">
        <v>181</v>
      </c>
      <c r="BC9" s="17" t="s">
        <v>185</v>
      </c>
      <c r="BD9" s="17" t="s">
        <v>179</v>
      </c>
      <c r="BE9" s="18"/>
      <c r="BF9" s="18"/>
      <c r="BG9" s="17" t="s">
        <v>179</v>
      </c>
      <c r="BH9" s="18"/>
      <c r="BI9" s="18"/>
      <c r="BJ9" s="17" t="s">
        <v>185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7" t="s">
        <v>179</v>
      </c>
      <c r="D11" s="17" t="s">
        <v>183</v>
      </c>
      <c r="E11" s="16" t="s">
        <v>180</v>
      </c>
      <c r="F11" s="16" t="s">
        <v>181</v>
      </c>
      <c r="G11" s="16" t="s">
        <v>181</v>
      </c>
      <c r="H11" s="16" t="s">
        <v>181</v>
      </c>
      <c r="I11" s="17" t="s">
        <v>179</v>
      </c>
      <c r="J11" s="17" t="s">
        <v>184</v>
      </c>
      <c r="K11" s="17" t="s">
        <v>183</v>
      </c>
      <c r="L11" s="16" t="s">
        <v>182</v>
      </c>
      <c r="M11" s="16" t="s">
        <v>180</v>
      </c>
      <c r="N11" s="16" t="s">
        <v>182</v>
      </c>
      <c r="O11" s="16" t="s">
        <v>180</v>
      </c>
      <c r="P11" s="16" t="s">
        <v>180</v>
      </c>
      <c r="Q11" s="16" t="s">
        <v>180</v>
      </c>
      <c r="R11" s="16" t="s">
        <v>178</v>
      </c>
      <c r="S11" s="17" t="s">
        <v>184</v>
      </c>
      <c r="T11" s="16" t="s">
        <v>181</v>
      </c>
      <c r="U11" s="17" t="s">
        <v>179</v>
      </c>
      <c r="V11" s="16" t="s">
        <v>182</v>
      </c>
      <c r="W11" s="17" t="s">
        <v>184</v>
      </c>
      <c r="X11" s="16" t="s">
        <v>182</v>
      </c>
      <c r="Y11" s="16" t="s">
        <v>181</v>
      </c>
      <c r="Z11" s="17" t="s">
        <v>185</v>
      </c>
      <c r="AA11" s="16" t="s">
        <v>181</v>
      </c>
      <c r="AB11" s="16" t="s">
        <v>178</v>
      </c>
      <c r="AC11" s="17" t="s">
        <v>185</v>
      </c>
      <c r="AD11" s="16" t="s">
        <v>181</v>
      </c>
      <c r="AE11" s="16" t="s">
        <v>178</v>
      </c>
      <c r="AF11" s="17" t="s">
        <v>184</v>
      </c>
      <c r="AG11" s="17" t="s">
        <v>184</v>
      </c>
      <c r="AH11" s="17" t="s">
        <v>184</v>
      </c>
      <c r="AI11" s="16" t="s">
        <v>181</v>
      </c>
      <c r="AJ11" s="16" t="s">
        <v>181</v>
      </c>
      <c r="AK11" s="17" t="s">
        <v>185</v>
      </c>
      <c r="AL11" s="17" t="s">
        <v>179</v>
      </c>
      <c r="AM11" s="17" t="s">
        <v>183</v>
      </c>
      <c r="AN11" s="16" t="s">
        <v>181</v>
      </c>
      <c r="AO11" s="16" t="s">
        <v>180</v>
      </c>
      <c r="AP11" s="16" t="s">
        <v>180</v>
      </c>
      <c r="AQ11" s="16" t="s">
        <v>181</v>
      </c>
      <c r="AR11" s="17" t="s">
        <v>179</v>
      </c>
      <c r="AS11" s="16" t="s">
        <v>180</v>
      </c>
      <c r="AT11" s="16" t="s">
        <v>178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6" t="s">
        <v>181</v>
      </c>
      <c r="BL11" s="16" t="s">
        <v>180</v>
      </c>
      <c r="BM11" s="16" t="s">
        <v>180</v>
      </c>
      <c r="BN11" s="16" t="s">
        <v>181</v>
      </c>
      <c r="BO11" s="17" t="s">
        <v>183</v>
      </c>
      <c r="BP11" s="16" t="s">
        <v>181</v>
      </c>
      <c r="BQ11" s="16" t="s">
        <v>178</v>
      </c>
      <c r="BR11" s="16" t="s">
        <v>178</v>
      </c>
      <c r="BS11" s="16" t="s">
        <v>178</v>
      </c>
      <c r="BT11" s="16" t="s">
        <v>181</v>
      </c>
      <c r="BU11" s="16" t="s">
        <v>181</v>
      </c>
      <c r="BV11" s="16" t="s">
        <v>182</v>
      </c>
      <c r="BW11" s="16" t="s">
        <v>181</v>
      </c>
      <c r="BX11" s="16" t="s">
        <v>178</v>
      </c>
      <c r="BY11" s="16" t="s">
        <v>181</v>
      </c>
      <c r="BZ11" s="17" t="s">
        <v>179</v>
      </c>
    </row>
    <row r="12" spans="1:78">
      <c r="A12" s="15" t="s">
        <v>53</v>
      </c>
      <c r="B12" s="15" t="s">
        <v>54</v>
      </c>
      <c r="C12" s="16" t="s">
        <v>178</v>
      </c>
      <c r="D12" s="16" t="s">
        <v>181</v>
      </c>
      <c r="E12" s="16" t="s">
        <v>180</v>
      </c>
      <c r="F12" s="16" t="s">
        <v>181</v>
      </c>
      <c r="G12" s="16" t="s">
        <v>181</v>
      </c>
      <c r="H12" s="16" t="s">
        <v>181</v>
      </c>
      <c r="I12" s="16" t="s">
        <v>181</v>
      </c>
      <c r="J12" s="16" t="s">
        <v>180</v>
      </c>
      <c r="K12" s="16" t="s">
        <v>181</v>
      </c>
      <c r="L12" s="16" t="s">
        <v>182</v>
      </c>
      <c r="M12" s="16" t="s">
        <v>180</v>
      </c>
      <c r="N12" s="16" t="s">
        <v>182</v>
      </c>
      <c r="O12" s="16" t="s">
        <v>180</v>
      </c>
      <c r="P12" s="16" t="s">
        <v>180</v>
      </c>
      <c r="Q12" s="18"/>
      <c r="R12" s="16" t="s">
        <v>178</v>
      </c>
      <c r="S12" s="17" t="s">
        <v>179</v>
      </c>
      <c r="T12" s="16" t="s">
        <v>181</v>
      </c>
      <c r="U12" s="17" t="s">
        <v>179</v>
      </c>
      <c r="V12" s="18"/>
      <c r="W12" s="16" t="s">
        <v>180</v>
      </c>
      <c r="X12" s="16" t="s">
        <v>182</v>
      </c>
      <c r="Y12" s="18"/>
      <c r="Z12" s="16" t="s">
        <v>180</v>
      </c>
      <c r="AA12" s="16" t="s">
        <v>181</v>
      </c>
      <c r="AB12" s="16" t="s">
        <v>178</v>
      </c>
      <c r="AC12" s="17" t="s">
        <v>185</v>
      </c>
      <c r="AD12" s="16" t="s">
        <v>181</v>
      </c>
      <c r="AE12" s="16" t="s">
        <v>178</v>
      </c>
      <c r="AF12" s="16" t="s">
        <v>181</v>
      </c>
      <c r="AG12" s="16" t="s">
        <v>181</v>
      </c>
      <c r="AH12" s="17" t="s">
        <v>184</v>
      </c>
      <c r="AI12" s="16" t="s">
        <v>181</v>
      </c>
      <c r="AJ12" s="16" t="s">
        <v>181</v>
      </c>
      <c r="AK12" s="16" t="s">
        <v>180</v>
      </c>
      <c r="AL12" s="16" t="s">
        <v>178</v>
      </c>
      <c r="AM12" s="16" t="s">
        <v>181</v>
      </c>
      <c r="AN12" s="16" t="s">
        <v>181</v>
      </c>
      <c r="AO12" s="16" t="s">
        <v>180</v>
      </c>
      <c r="AP12" s="16" t="s">
        <v>180</v>
      </c>
      <c r="AQ12" s="16" t="s">
        <v>181</v>
      </c>
      <c r="AR12" s="16" t="s">
        <v>182</v>
      </c>
      <c r="AS12" s="16" t="s">
        <v>180</v>
      </c>
      <c r="AT12" s="16" t="s">
        <v>178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" t="s">
        <v>181</v>
      </c>
      <c r="BL12" s="16" t="s">
        <v>180</v>
      </c>
      <c r="BM12" s="16" t="s">
        <v>180</v>
      </c>
      <c r="BN12" s="16" t="s">
        <v>181</v>
      </c>
      <c r="BO12" s="16" t="s">
        <v>181</v>
      </c>
      <c r="BP12" s="16" t="s">
        <v>181</v>
      </c>
      <c r="BQ12" s="16" t="s">
        <v>178</v>
      </c>
      <c r="BR12" s="16" t="s">
        <v>178</v>
      </c>
      <c r="BS12" s="16" t="s">
        <v>178</v>
      </c>
      <c r="BT12" s="16" t="s">
        <v>181</v>
      </c>
      <c r="BU12" s="16" t="s">
        <v>181</v>
      </c>
      <c r="BV12" s="16" t="s">
        <v>182</v>
      </c>
      <c r="BW12" s="16" t="s">
        <v>181</v>
      </c>
      <c r="BX12" s="16" t="s">
        <v>178</v>
      </c>
      <c r="BY12" s="16" t="s">
        <v>181</v>
      </c>
      <c r="BZ12" s="18"/>
    </row>
    <row r="13" spans="1:78">
      <c r="A13" s="15" t="s">
        <v>55</v>
      </c>
      <c r="B13" s="15" t="s">
        <v>56</v>
      </c>
      <c r="C13" s="16" t="s">
        <v>178</v>
      </c>
      <c r="D13" s="16" t="s">
        <v>181</v>
      </c>
      <c r="E13" s="16" t="s">
        <v>180</v>
      </c>
      <c r="F13" s="16" t="s">
        <v>181</v>
      </c>
      <c r="G13" s="16" t="s">
        <v>181</v>
      </c>
      <c r="H13" s="16" t="s">
        <v>181</v>
      </c>
      <c r="I13" s="16" t="s">
        <v>181</v>
      </c>
      <c r="J13" s="18"/>
      <c r="K13" s="16" t="s">
        <v>181</v>
      </c>
      <c r="L13" s="16" t="s">
        <v>182</v>
      </c>
      <c r="M13" s="18"/>
      <c r="N13" s="16" t="s">
        <v>182</v>
      </c>
      <c r="O13" s="16" t="s">
        <v>180</v>
      </c>
      <c r="P13" s="16" t="s">
        <v>180</v>
      </c>
      <c r="Q13" s="18"/>
      <c r="R13" s="16" t="s">
        <v>178</v>
      </c>
      <c r="S13" s="18"/>
      <c r="T13" s="17" t="s">
        <v>179</v>
      </c>
      <c r="U13" s="18"/>
      <c r="V13" s="16" t="s">
        <v>182</v>
      </c>
      <c r="W13" s="18"/>
      <c r="X13" s="17" t="s">
        <v>185</v>
      </c>
      <c r="Y13" s="18"/>
      <c r="Z13" s="17" t="s">
        <v>185</v>
      </c>
      <c r="AA13" s="16" t="s">
        <v>181</v>
      </c>
      <c r="AB13" s="16" t="s">
        <v>178</v>
      </c>
      <c r="AC13" s="18"/>
      <c r="AD13" s="16" t="s">
        <v>181</v>
      </c>
      <c r="AE13" s="16" t="s">
        <v>178</v>
      </c>
      <c r="AF13" s="17" t="s">
        <v>184</v>
      </c>
      <c r="AG13" s="17" t="s">
        <v>184</v>
      </c>
      <c r="AH13" s="17" t="s">
        <v>184</v>
      </c>
      <c r="AI13" s="16" t="s">
        <v>181</v>
      </c>
      <c r="AJ13" s="16" t="s">
        <v>181</v>
      </c>
      <c r="AK13" s="16" t="s">
        <v>180</v>
      </c>
      <c r="AL13" s="18"/>
      <c r="AM13" s="16" t="s">
        <v>181</v>
      </c>
      <c r="AN13" s="16" t="s">
        <v>181</v>
      </c>
      <c r="AO13" s="18"/>
      <c r="AP13" s="16" t="s">
        <v>180</v>
      </c>
      <c r="AQ13" s="16" t="s">
        <v>181</v>
      </c>
      <c r="AR13" s="16" t="s">
        <v>182</v>
      </c>
      <c r="AS13" s="16" t="s">
        <v>180</v>
      </c>
      <c r="AT13" s="16" t="s">
        <v>178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6" t="s">
        <v>181</v>
      </c>
      <c r="BL13" s="16" t="s">
        <v>180</v>
      </c>
      <c r="BM13" s="16" t="s">
        <v>180</v>
      </c>
      <c r="BN13" s="18"/>
      <c r="BO13" s="16" t="s">
        <v>181</v>
      </c>
      <c r="BP13" s="16" t="s">
        <v>181</v>
      </c>
      <c r="BQ13" s="18"/>
      <c r="BR13" s="17" t="s">
        <v>179</v>
      </c>
      <c r="BS13" s="16" t="s">
        <v>178</v>
      </c>
      <c r="BT13" s="16" t="s">
        <v>181</v>
      </c>
      <c r="BU13" s="18"/>
      <c r="BV13" s="16" t="s">
        <v>182</v>
      </c>
      <c r="BW13" s="16" t="s">
        <v>181</v>
      </c>
      <c r="BX13" s="18"/>
      <c r="BY13" s="16" t="s">
        <v>181</v>
      </c>
      <c r="BZ13" s="18"/>
    </row>
    <row r="14" spans="1:78">
      <c r="A14" s="15" t="s">
        <v>57</v>
      </c>
      <c r="B14" s="15" t="s">
        <v>58</v>
      </c>
      <c r="C14" s="16" t="s">
        <v>178</v>
      </c>
      <c r="D14" s="16" t="s">
        <v>181</v>
      </c>
      <c r="E14" s="16" t="s">
        <v>180</v>
      </c>
      <c r="F14" s="16" t="s">
        <v>181</v>
      </c>
      <c r="G14" s="16" t="s">
        <v>181</v>
      </c>
      <c r="H14" s="16" t="s">
        <v>181</v>
      </c>
      <c r="I14" s="17" t="s">
        <v>179</v>
      </c>
      <c r="J14" s="17" t="s">
        <v>183</v>
      </c>
      <c r="K14" s="16" t="s">
        <v>181</v>
      </c>
      <c r="L14" s="16" t="s">
        <v>182</v>
      </c>
      <c r="M14" s="16" t="s">
        <v>180</v>
      </c>
      <c r="N14" s="16" t="s">
        <v>182</v>
      </c>
      <c r="O14" s="16" t="s">
        <v>180</v>
      </c>
      <c r="P14" s="16" t="s">
        <v>180</v>
      </c>
      <c r="Q14" s="16" t="s">
        <v>180</v>
      </c>
      <c r="R14" s="16" t="s">
        <v>178</v>
      </c>
      <c r="S14" s="17" t="s">
        <v>179</v>
      </c>
      <c r="T14" s="16" t="s">
        <v>181</v>
      </c>
      <c r="U14" s="16" t="s">
        <v>178</v>
      </c>
      <c r="V14" s="16" t="s">
        <v>182</v>
      </c>
      <c r="W14" s="16" t="s">
        <v>180</v>
      </c>
      <c r="X14" s="16" t="s">
        <v>182</v>
      </c>
      <c r="Y14" s="18"/>
      <c r="Z14" s="16" t="s">
        <v>180</v>
      </c>
      <c r="AA14" s="16" t="s">
        <v>181</v>
      </c>
      <c r="AB14" s="16" t="s">
        <v>178</v>
      </c>
      <c r="AC14" s="16" t="s">
        <v>180</v>
      </c>
      <c r="AD14" s="16" t="s">
        <v>181</v>
      </c>
      <c r="AE14" s="16" t="s">
        <v>178</v>
      </c>
      <c r="AF14" s="17" t="s">
        <v>184</v>
      </c>
      <c r="AG14" s="17" t="s">
        <v>184</v>
      </c>
      <c r="AH14" s="17" t="s">
        <v>184</v>
      </c>
      <c r="AI14" s="16" t="s">
        <v>181</v>
      </c>
      <c r="AJ14" s="16" t="s">
        <v>181</v>
      </c>
      <c r="AK14" s="16" t="s">
        <v>180</v>
      </c>
      <c r="AL14" s="16" t="s">
        <v>178</v>
      </c>
      <c r="AM14" s="16" t="s">
        <v>181</v>
      </c>
      <c r="AN14" s="16" t="s">
        <v>181</v>
      </c>
      <c r="AO14" s="18"/>
      <c r="AP14" s="16" t="s">
        <v>180</v>
      </c>
      <c r="AQ14" s="16" t="s">
        <v>181</v>
      </c>
      <c r="AR14" s="16" t="s">
        <v>182</v>
      </c>
      <c r="AS14" s="16" t="s">
        <v>180</v>
      </c>
      <c r="AT14" s="16" t="s">
        <v>178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6" t="s">
        <v>181</v>
      </c>
      <c r="BL14" s="16" t="s">
        <v>180</v>
      </c>
      <c r="BM14" s="16" t="s">
        <v>180</v>
      </c>
      <c r="BN14" s="16" t="s">
        <v>181</v>
      </c>
      <c r="BO14" s="16" t="s">
        <v>181</v>
      </c>
      <c r="BP14" s="16" t="s">
        <v>181</v>
      </c>
      <c r="BQ14" s="16" t="s">
        <v>178</v>
      </c>
      <c r="BR14" s="16" t="s">
        <v>178</v>
      </c>
      <c r="BS14" s="16" t="s">
        <v>178</v>
      </c>
      <c r="BT14" s="16" t="s">
        <v>181</v>
      </c>
      <c r="BU14" s="16" t="s">
        <v>181</v>
      </c>
      <c r="BV14" s="16" t="s">
        <v>182</v>
      </c>
      <c r="BW14" s="16" t="s">
        <v>181</v>
      </c>
      <c r="BX14" s="16" t="s">
        <v>178</v>
      </c>
      <c r="BY14" s="16" t="s">
        <v>181</v>
      </c>
      <c r="BZ14" s="18"/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178</v>
      </c>
      <c r="D19" s="16" t="s">
        <v>181</v>
      </c>
      <c r="E19" s="16" t="s">
        <v>180</v>
      </c>
      <c r="F19" s="16" t="s">
        <v>181</v>
      </c>
      <c r="G19" s="16" t="s">
        <v>181</v>
      </c>
      <c r="H19" s="17" t="s">
        <v>183</v>
      </c>
      <c r="I19" s="16" t="s">
        <v>181</v>
      </c>
      <c r="J19" s="17" t="s">
        <v>183</v>
      </c>
      <c r="K19" s="16" t="s">
        <v>181</v>
      </c>
      <c r="L19" s="16" t="s">
        <v>182</v>
      </c>
      <c r="M19" s="16" t="s">
        <v>180</v>
      </c>
      <c r="N19" s="16" t="s">
        <v>182</v>
      </c>
      <c r="O19" s="16" t="s">
        <v>180</v>
      </c>
      <c r="P19" s="16" t="s">
        <v>180</v>
      </c>
      <c r="Q19" s="16" t="s">
        <v>180</v>
      </c>
      <c r="R19" s="16" t="s">
        <v>178</v>
      </c>
      <c r="S19" s="16" t="s">
        <v>181</v>
      </c>
      <c r="T19" s="16" t="s">
        <v>181</v>
      </c>
      <c r="U19" s="16" t="s">
        <v>178</v>
      </c>
      <c r="V19" s="16" t="s">
        <v>182</v>
      </c>
      <c r="W19" s="16" t="s">
        <v>180</v>
      </c>
      <c r="X19" s="16" t="s">
        <v>182</v>
      </c>
      <c r="Y19" s="17" t="s">
        <v>179</v>
      </c>
      <c r="Z19" s="16" t="s">
        <v>180</v>
      </c>
      <c r="AA19" s="16" t="s">
        <v>181</v>
      </c>
      <c r="AB19" s="16" t="s">
        <v>178</v>
      </c>
      <c r="AC19" s="16" t="s">
        <v>180</v>
      </c>
      <c r="AD19" s="18"/>
      <c r="AE19" s="16" t="s">
        <v>178</v>
      </c>
      <c r="AF19" s="16" t="s">
        <v>181</v>
      </c>
      <c r="AG19" s="16" t="s">
        <v>181</v>
      </c>
      <c r="AH19" s="16" t="s">
        <v>182</v>
      </c>
      <c r="AI19" s="16" t="s">
        <v>181</v>
      </c>
      <c r="AJ19" s="16" t="s">
        <v>181</v>
      </c>
      <c r="AK19" s="16" t="s">
        <v>180</v>
      </c>
      <c r="AL19" s="16" t="s">
        <v>178</v>
      </c>
      <c r="AM19" s="16" t="s">
        <v>181</v>
      </c>
      <c r="AN19" s="16" t="s">
        <v>181</v>
      </c>
      <c r="AO19" s="16" t="s">
        <v>180</v>
      </c>
      <c r="AP19" s="16" t="s">
        <v>180</v>
      </c>
      <c r="AQ19" s="16" t="s">
        <v>181</v>
      </c>
      <c r="AR19" s="16" t="s">
        <v>182</v>
      </c>
      <c r="AS19" s="18"/>
      <c r="AT19" s="16" t="s">
        <v>178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6" t="s">
        <v>181</v>
      </c>
      <c r="BL19" s="16" t="s">
        <v>180</v>
      </c>
      <c r="BM19" s="16" t="s">
        <v>180</v>
      </c>
      <c r="BN19" s="16" t="s">
        <v>181</v>
      </c>
      <c r="BO19" s="16" t="s">
        <v>181</v>
      </c>
      <c r="BP19" s="16" t="s">
        <v>181</v>
      </c>
      <c r="BQ19" s="16" t="s">
        <v>178</v>
      </c>
      <c r="BR19" s="16" t="s">
        <v>178</v>
      </c>
      <c r="BS19" s="16" t="s">
        <v>178</v>
      </c>
      <c r="BT19" s="16" t="s">
        <v>181</v>
      </c>
      <c r="BU19" s="16" t="s">
        <v>181</v>
      </c>
      <c r="BV19" s="16" t="s">
        <v>182</v>
      </c>
      <c r="BW19" s="16" t="s">
        <v>181</v>
      </c>
      <c r="BX19" s="16" t="s">
        <v>178</v>
      </c>
      <c r="BY19" s="18"/>
      <c r="BZ19" s="16" t="s">
        <v>181</v>
      </c>
    </row>
    <row r="20" spans="1:78">
      <c r="A20" s="15" t="s">
        <v>69</v>
      </c>
      <c r="B20" s="15" t="s">
        <v>70</v>
      </c>
      <c r="C20" s="16" t="s">
        <v>178</v>
      </c>
      <c r="D20" s="16" t="s">
        <v>181</v>
      </c>
      <c r="E20" s="16" t="s">
        <v>180</v>
      </c>
      <c r="F20" s="16" t="s">
        <v>181</v>
      </c>
      <c r="G20" s="16" t="s">
        <v>181</v>
      </c>
      <c r="H20" s="16" t="s">
        <v>181</v>
      </c>
      <c r="I20" s="16" t="s">
        <v>181</v>
      </c>
      <c r="J20" s="17" t="s">
        <v>184</v>
      </c>
      <c r="K20" s="16" t="s">
        <v>181</v>
      </c>
      <c r="L20" s="18"/>
      <c r="M20" s="16" t="s">
        <v>180</v>
      </c>
      <c r="N20" s="18"/>
      <c r="O20" s="16" t="s">
        <v>180</v>
      </c>
      <c r="P20" s="16" t="s">
        <v>180</v>
      </c>
      <c r="Q20" s="18"/>
      <c r="R20" s="16" t="s">
        <v>178</v>
      </c>
      <c r="S20" s="18"/>
      <c r="T20" s="16" t="s">
        <v>181</v>
      </c>
      <c r="U20" s="18"/>
      <c r="V20" s="18"/>
      <c r="W20" s="18"/>
      <c r="X20" s="18"/>
      <c r="Y20" s="18"/>
      <c r="Z20" s="16" t="s">
        <v>180</v>
      </c>
      <c r="AA20" s="17" t="s">
        <v>184</v>
      </c>
      <c r="AB20" s="16" t="s">
        <v>178</v>
      </c>
      <c r="AC20" s="16" t="s">
        <v>180</v>
      </c>
      <c r="AD20" s="16" t="s">
        <v>181</v>
      </c>
      <c r="AE20" s="16" t="s">
        <v>178</v>
      </c>
      <c r="AF20" s="17" t="s">
        <v>184</v>
      </c>
      <c r="AG20" s="16" t="s">
        <v>181</v>
      </c>
      <c r="AH20" s="17" t="s">
        <v>185</v>
      </c>
      <c r="AI20" s="16" t="s">
        <v>181</v>
      </c>
      <c r="AJ20" s="16" t="s">
        <v>181</v>
      </c>
      <c r="AK20" s="16" t="s">
        <v>180</v>
      </c>
      <c r="AL20" s="16" t="s">
        <v>178</v>
      </c>
      <c r="AM20" s="16" t="s">
        <v>181</v>
      </c>
      <c r="AN20" s="16" t="s">
        <v>181</v>
      </c>
      <c r="AO20" s="18"/>
      <c r="AP20" s="16" t="s">
        <v>180</v>
      </c>
      <c r="AQ20" s="16" t="s">
        <v>181</v>
      </c>
      <c r="AR20" s="18"/>
      <c r="AS20" s="17" t="s">
        <v>183</v>
      </c>
      <c r="AT20" s="16" t="s">
        <v>178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6" t="s">
        <v>180</v>
      </c>
      <c r="BM20" s="16" t="s">
        <v>180</v>
      </c>
      <c r="BN20" s="16" t="s">
        <v>181</v>
      </c>
      <c r="BO20" s="16" t="s">
        <v>181</v>
      </c>
      <c r="BP20" s="16" t="s">
        <v>181</v>
      </c>
      <c r="BQ20" s="17" t="s">
        <v>185</v>
      </c>
      <c r="BR20" s="17" t="s">
        <v>179</v>
      </c>
      <c r="BS20" s="16" t="s">
        <v>178</v>
      </c>
      <c r="BT20" s="16" t="s">
        <v>181</v>
      </c>
      <c r="BU20" s="17" t="s">
        <v>184</v>
      </c>
      <c r="BV20" s="16" t="s">
        <v>182</v>
      </c>
      <c r="BW20" s="16" t="s">
        <v>181</v>
      </c>
      <c r="BX20" s="16" t="s">
        <v>178</v>
      </c>
      <c r="BY20" s="16" t="s">
        <v>181</v>
      </c>
      <c r="BZ20" s="18"/>
    </row>
    <row r="21" spans="1:78">
      <c r="A21" s="15" t="s">
        <v>71</v>
      </c>
      <c r="B21" s="15" t="s">
        <v>72</v>
      </c>
      <c r="C21" s="17" t="s">
        <v>183</v>
      </c>
      <c r="D21" s="16" t="s">
        <v>181</v>
      </c>
      <c r="E21" s="16" t="s">
        <v>180</v>
      </c>
      <c r="F21" s="16" t="s">
        <v>181</v>
      </c>
      <c r="G21" s="16" t="s">
        <v>181</v>
      </c>
      <c r="H21" s="16" t="s">
        <v>181</v>
      </c>
      <c r="I21" s="16" t="s">
        <v>181</v>
      </c>
      <c r="J21" s="16" t="s">
        <v>180</v>
      </c>
      <c r="K21" s="16" t="s">
        <v>181</v>
      </c>
      <c r="L21" s="16" t="s">
        <v>182</v>
      </c>
      <c r="M21" s="16" t="s">
        <v>180</v>
      </c>
      <c r="N21" s="18"/>
      <c r="O21" s="16" t="s">
        <v>180</v>
      </c>
      <c r="P21" s="16" t="s">
        <v>180</v>
      </c>
      <c r="Q21" s="16" t="s">
        <v>180</v>
      </c>
      <c r="R21" s="18"/>
      <c r="S21" s="18"/>
      <c r="T21" s="16" t="s">
        <v>181</v>
      </c>
      <c r="U21" s="16" t="s">
        <v>178</v>
      </c>
      <c r="V21" s="16" t="s">
        <v>182</v>
      </c>
      <c r="W21" s="17" t="s">
        <v>183</v>
      </c>
      <c r="X21" s="18"/>
      <c r="Y21" s="17" t="s">
        <v>179</v>
      </c>
      <c r="Z21" s="16" t="s">
        <v>180</v>
      </c>
      <c r="AA21" s="16" t="s">
        <v>181</v>
      </c>
      <c r="AB21" s="16" t="s">
        <v>178</v>
      </c>
      <c r="AC21" s="16" t="s">
        <v>180</v>
      </c>
      <c r="AD21" s="16" t="s">
        <v>181</v>
      </c>
      <c r="AE21" s="16" t="s">
        <v>178</v>
      </c>
      <c r="AF21" s="18"/>
      <c r="AG21" s="17" t="s">
        <v>184</v>
      </c>
      <c r="AH21" s="16" t="s">
        <v>182</v>
      </c>
      <c r="AI21" s="16" t="s">
        <v>181</v>
      </c>
      <c r="AJ21" s="16" t="s">
        <v>181</v>
      </c>
      <c r="AK21" s="16" t="s">
        <v>180</v>
      </c>
      <c r="AL21" s="16" t="s">
        <v>178</v>
      </c>
      <c r="AM21" s="16" t="s">
        <v>181</v>
      </c>
      <c r="AN21" s="16" t="s">
        <v>181</v>
      </c>
      <c r="AO21" s="17" t="s">
        <v>185</v>
      </c>
      <c r="AP21" s="16" t="s">
        <v>180</v>
      </c>
      <c r="AQ21" s="16" t="s">
        <v>181</v>
      </c>
      <c r="AR21" s="16" t="s">
        <v>182</v>
      </c>
      <c r="AS21" s="16" t="s">
        <v>180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6" t="s">
        <v>181</v>
      </c>
      <c r="BL21" s="16" t="s">
        <v>180</v>
      </c>
      <c r="BM21" s="16" t="s">
        <v>180</v>
      </c>
      <c r="BN21" s="16" t="s">
        <v>181</v>
      </c>
      <c r="BO21" s="16" t="s">
        <v>181</v>
      </c>
      <c r="BP21" s="16" t="s">
        <v>181</v>
      </c>
      <c r="BQ21" s="16" t="s">
        <v>178</v>
      </c>
      <c r="BR21" s="16" t="s">
        <v>178</v>
      </c>
      <c r="BS21" s="16" t="s">
        <v>178</v>
      </c>
      <c r="BT21" s="16" t="s">
        <v>181</v>
      </c>
      <c r="BU21" s="16" t="s">
        <v>181</v>
      </c>
      <c r="BV21" s="16" t="s">
        <v>182</v>
      </c>
      <c r="BW21" s="16" t="s">
        <v>181</v>
      </c>
      <c r="BX21" s="16" t="s">
        <v>178</v>
      </c>
      <c r="BY21" s="16" t="s">
        <v>181</v>
      </c>
      <c r="BZ21" s="16" t="s">
        <v>181</v>
      </c>
    </row>
    <row r="22" spans="1:78">
      <c r="A22" s="15" t="s">
        <v>73</v>
      </c>
      <c r="B22" s="15" t="s">
        <v>74</v>
      </c>
      <c r="C22" s="16" t="s">
        <v>178</v>
      </c>
      <c r="D22" s="16" t="s">
        <v>181</v>
      </c>
      <c r="E22" s="16" t="s">
        <v>180</v>
      </c>
      <c r="F22" s="16" t="s">
        <v>181</v>
      </c>
      <c r="G22" s="16" t="s">
        <v>181</v>
      </c>
      <c r="H22" s="16" t="s">
        <v>181</v>
      </c>
      <c r="I22" s="16" t="s">
        <v>181</v>
      </c>
      <c r="J22" s="16" t="s">
        <v>180</v>
      </c>
      <c r="K22" s="16" t="s">
        <v>181</v>
      </c>
      <c r="L22" s="16" t="s">
        <v>182</v>
      </c>
      <c r="M22" s="16" t="s">
        <v>180</v>
      </c>
      <c r="N22" s="16" t="s">
        <v>182</v>
      </c>
      <c r="O22" s="16" t="s">
        <v>180</v>
      </c>
      <c r="P22" s="16" t="s">
        <v>180</v>
      </c>
      <c r="Q22" s="17" t="s">
        <v>185</v>
      </c>
      <c r="R22" s="16" t="s">
        <v>178</v>
      </c>
      <c r="S22" s="17" t="s">
        <v>179</v>
      </c>
      <c r="T22" s="16" t="s">
        <v>181</v>
      </c>
      <c r="U22" s="17" t="s">
        <v>179</v>
      </c>
      <c r="V22" s="17" t="s">
        <v>179</v>
      </c>
      <c r="W22" s="18"/>
      <c r="X22" s="16" t="s">
        <v>182</v>
      </c>
      <c r="Y22" s="18"/>
      <c r="Z22" s="16" t="s">
        <v>180</v>
      </c>
      <c r="AA22" s="16" t="s">
        <v>181</v>
      </c>
      <c r="AB22" s="16" t="s">
        <v>178</v>
      </c>
      <c r="AC22" s="17" t="s">
        <v>185</v>
      </c>
      <c r="AD22" s="16" t="s">
        <v>181</v>
      </c>
      <c r="AE22" s="16" t="s">
        <v>178</v>
      </c>
      <c r="AF22" s="17" t="s">
        <v>184</v>
      </c>
      <c r="AG22" s="17" t="s">
        <v>179</v>
      </c>
      <c r="AH22" s="17" t="s">
        <v>184</v>
      </c>
      <c r="AI22" s="16" t="s">
        <v>181</v>
      </c>
      <c r="AJ22" s="16" t="s">
        <v>181</v>
      </c>
      <c r="AK22" s="16" t="s">
        <v>180</v>
      </c>
      <c r="AL22" s="16" t="s">
        <v>178</v>
      </c>
      <c r="AM22" s="16" t="s">
        <v>181</v>
      </c>
      <c r="AN22" s="16" t="s">
        <v>181</v>
      </c>
      <c r="AO22" s="16" t="s">
        <v>180</v>
      </c>
      <c r="AP22" s="16" t="s">
        <v>180</v>
      </c>
      <c r="AQ22" s="16" t="s">
        <v>181</v>
      </c>
      <c r="AR22" s="17" t="s">
        <v>179</v>
      </c>
      <c r="AS22" s="17" t="s">
        <v>183</v>
      </c>
      <c r="AT22" s="17" t="s">
        <v>179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6" t="s">
        <v>181</v>
      </c>
      <c r="BL22" s="16" t="s">
        <v>180</v>
      </c>
      <c r="BM22" s="16" t="s">
        <v>180</v>
      </c>
      <c r="BN22" s="16" t="s">
        <v>181</v>
      </c>
      <c r="BO22" s="16" t="s">
        <v>181</v>
      </c>
      <c r="BP22" s="16" t="s">
        <v>181</v>
      </c>
      <c r="BQ22" s="17" t="s">
        <v>185</v>
      </c>
      <c r="BR22" s="16" t="s">
        <v>178</v>
      </c>
      <c r="BS22" s="16" t="s">
        <v>178</v>
      </c>
      <c r="BT22" s="16" t="s">
        <v>181</v>
      </c>
      <c r="BU22" s="16" t="s">
        <v>181</v>
      </c>
      <c r="BV22" s="16" t="s">
        <v>182</v>
      </c>
      <c r="BW22" s="16" t="s">
        <v>181</v>
      </c>
      <c r="BX22" s="17" t="s">
        <v>179</v>
      </c>
      <c r="BY22" s="16" t="s">
        <v>181</v>
      </c>
      <c r="BZ22" s="17" t="s">
        <v>184</v>
      </c>
    </row>
    <row r="23" spans="1:78">
      <c r="A23" s="15" t="s">
        <v>75</v>
      </c>
      <c r="B23" s="15" t="s">
        <v>76</v>
      </c>
      <c r="C23" s="16" t="s">
        <v>178</v>
      </c>
      <c r="D23" s="16" t="s">
        <v>181</v>
      </c>
      <c r="E23" s="16" t="s">
        <v>180</v>
      </c>
      <c r="F23" s="16" t="s">
        <v>181</v>
      </c>
      <c r="G23" s="16" t="s">
        <v>181</v>
      </c>
      <c r="H23" s="16" t="s">
        <v>181</v>
      </c>
      <c r="I23" s="17" t="s">
        <v>179</v>
      </c>
      <c r="J23" s="16" t="s">
        <v>180</v>
      </c>
      <c r="K23" s="16" t="s">
        <v>181</v>
      </c>
      <c r="L23" s="16" t="s">
        <v>182</v>
      </c>
      <c r="M23" s="16" t="s">
        <v>180</v>
      </c>
      <c r="N23" s="16" t="s">
        <v>182</v>
      </c>
      <c r="O23" s="16" t="s">
        <v>180</v>
      </c>
      <c r="P23" s="16" t="s">
        <v>180</v>
      </c>
      <c r="Q23" s="16" t="s">
        <v>180</v>
      </c>
      <c r="R23" s="16" t="s">
        <v>178</v>
      </c>
      <c r="S23" s="16" t="s">
        <v>181</v>
      </c>
      <c r="T23" s="16" t="s">
        <v>181</v>
      </c>
      <c r="U23" s="16" t="s">
        <v>178</v>
      </c>
      <c r="V23" s="16" t="s">
        <v>182</v>
      </c>
      <c r="W23" s="18"/>
      <c r="X23" s="16" t="s">
        <v>182</v>
      </c>
      <c r="Y23" s="16" t="s">
        <v>181</v>
      </c>
      <c r="Z23" s="16" t="s">
        <v>180</v>
      </c>
      <c r="AA23" s="16" t="s">
        <v>181</v>
      </c>
      <c r="AB23" s="16" t="s">
        <v>178</v>
      </c>
      <c r="AC23" s="16" t="s">
        <v>180</v>
      </c>
      <c r="AD23" s="16" t="s">
        <v>181</v>
      </c>
      <c r="AE23" s="16" t="s">
        <v>178</v>
      </c>
      <c r="AF23" s="17" t="s">
        <v>184</v>
      </c>
      <c r="AG23" s="17" t="s">
        <v>184</v>
      </c>
      <c r="AH23" s="17" t="s">
        <v>184</v>
      </c>
      <c r="AI23" s="16" t="s">
        <v>181</v>
      </c>
      <c r="AJ23" s="16" t="s">
        <v>181</v>
      </c>
      <c r="AK23" s="16" t="s">
        <v>180</v>
      </c>
      <c r="AL23" s="18"/>
      <c r="AM23" s="16" t="s">
        <v>181</v>
      </c>
      <c r="AN23" s="17" t="s">
        <v>179</v>
      </c>
      <c r="AO23" s="16" t="s">
        <v>180</v>
      </c>
      <c r="AP23" s="16" t="s">
        <v>180</v>
      </c>
      <c r="AQ23" s="16" t="s">
        <v>181</v>
      </c>
      <c r="AR23" s="16" t="s">
        <v>182</v>
      </c>
      <c r="AS23" s="16" t="s">
        <v>180</v>
      </c>
      <c r="AT23" s="16" t="s">
        <v>178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6" t="s">
        <v>181</v>
      </c>
      <c r="BL23" s="16" t="s">
        <v>180</v>
      </c>
      <c r="BM23" s="16" t="s">
        <v>180</v>
      </c>
      <c r="BN23" s="16" t="s">
        <v>181</v>
      </c>
      <c r="BO23" s="16" t="s">
        <v>181</v>
      </c>
      <c r="BP23" s="16" t="s">
        <v>181</v>
      </c>
      <c r="BQ23" s="16" t="s">
        <v>178</v>
      </c>
      <c r="BR23" s="17" t="s">
        <v>179</v>
      </c>
      <c r="BS23" s="16" t="s">
        <v>178</v>
      </c>
      <c r="BT23" s="16" t="s">
        <v>181</v>
      </c>
      <c r="BU23" s="16" t="s">
        <v>181</v>
      </c>
      <c r="BV23" s="16" t="s">
        <v>182</v>
      </c>
      <c r="BW23" s="16" t="s">
        <v>181</v>
      </c>
      <c r="BX23" s="16" t="s">
        <v>178</v>
      </c>
      <c r="BY23" s="16" t="s">
        <v>181</v>
      </c>
      <c r="BZ23" s="16" t="s">
        <v>181</v>
      </c>
    </row>
    <row r="24" spans="1:78">
      <c r="A24" s="15" t="s">
        <v>77</v>
      </c>
      <c r="B24" s="15" t="s">
        <v>78</v>
      </c>
      <c r="C24" s="16" t="s">
        <v>178</v>
      </c>
      <c r="D24" s="16" t="s">
        <v>181</v>
      </c>
      <c r="E24" s="16" t="s">
        <v>180</v>
      </c>
      <c r="F24" s="16" t="s">
        <v>181</v>
      </c>
      <c r="G24" s="16" t="s">
        <v>181</v>
      </c>
      <c r="H24" s="17" t="s">
        <v>183</v>
      </c>
      <c r="I24" s="17" t="s">
        <v>179</v>
      </c>
      <c r="J24" s="18"/>
      <c r="K24" s="16" t="s">
        <v>181</v>
      </c>
      <c r="L24" s="16" t="s">
        <v>182</v>
      </c>
      <c r="M24" s="16" t="s">
        <v>180</v>
      </c>
      <c r="N24" s="16" t="s">
        <v>182</v>
      </c>
      <c r="O24" s="17" t="s">
        <v>185</v>
      </c>
      <c r="P24" s="17" t="s">
        <v>185</v>
      </c>
      <c r="Q24" s="17" t="s">
        <v>185</v>
      </c>
      <c r="R24" s="16" t="s">
        <v>178</v>
      </c>
      <c r="S24" s="16" t="s">
        <v>181</v>
      </c>
      <c r="T24" s="16" t="s">
        <v>181</v>
      </c>
      <c r="U24" s="16" t="s">
        <v>178</v>
      </c>
      <c r="V24" s="18"/>
      <c r="W24" s="16" t="s">
        <v>180</v>
      </c>
      <c r="X24" s="17" t="s">
        <v>179</v>
      </c>
      <c r="Y24" s="18"/>
      <c r="Z24" s="16" t="s">
        <v>180</v>
      </c>
      <c r="AA24" s="16" t="s">
        <v>181</v>
      </c>
      <c r="AB24" s="16" t="s">
        <v>178</v>
      </c>
      <c r="AC24" s="17" t="s">
        <v>185</v>
      </c>
      <c r="AD24" s="16" t="s">
        <v>181</v>
      </c>
      <c r="AE24" s="16" t="s">
        <v>178</v>
      </c>
      <c r="AF24" s="16" t="s">
        <v>181</v>
      </c>
      <c r="AG24" s="16" t="s">
        <v>181</v>
      </c>
      <c r="AH24" s="17" t="s">
        <v>184</v>
      </c>
      <c r="AI24" s="16" t="s">
        <v>181</v>
      </c>
      <c r="AJ24" s="16" t="s">
        <v>181</v>
      </c>
      <c r="AK24" s="16" t="s">
        <v>180</v>
      </c>
      <c r="AL24" s="16" t="s">
        <v>178</v>
      </c>
      <c r="AM24" s="16" t="s">
        <v>181</v>
      </c>
      <c r="AN24" s="16" t="s">
        <v>181</v>
      </c>
      <c r="AO24" s="16" t="s">
        <v>180</v>
      </c>
      <c r="AP24" s="16" t="s">
        <v>180</v>
      </c>
      <c r="AQ24" s="16" t="s">
        <v>181</v>
      </c>
      <c r="AR24" s="16" t="s">
        <v>182</v>
      </c>
      <c r="AS24" s="16" t="s">
        <v>180</v>
      </c>
      <c r="AT24" s="16" t="s">
        <v>178</v>
      </c>
      <c r="AU24" s="16" t="s">
        <v>181</v>
      </c>
      <c r="AV24" s="16" t="s">
        <v>180</v>
      </c>
      <c r="AW24" s="18"/>
      <c r="AX24" s="16" t="s">
        <v>178</v>
      </c>
      <c r="AY24" s="16" t="s">
        <v>181</v>
      </c>
      <c r="AZ24" s="16" t="s">
        <v>181</v>
      </c>
      <c r="BA24" s="16" t="s">
        <v>180</v>
      </c>
      <c r="BB24" s="16" t="s">
        <v>181</v>
      </c>
      <c r="BC24" s="16" t="s">
        <v>180</v>
      </c>
      <c r="BD24" s="16" t="s">
        <v>182</v>
      </c>
      <c r="BE24" s="16" t="s">
        <v>180</v>
      </c>
      <c r="BF24" s="16" t="s">
        <v>180</v>
      </c>
      <c r="BG24" s="16" t="s">
        <v>181</v>
      </c>
      <c r="BH24" s="16" t="s">
        <v>181</v>
      </c>
      <c r="BI24" s="16" t="s">
        <v>182</v>
      </c>
      <c r="BJ24" s="17" t="s">
        <v>184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7" t="s">
        <v>183</v>
      </c>
      <c r="D25" s="16" t="s">
        <v>181</v>
      </c>
      <c r="E25" s="16" t="s">
        <v>180</v>
      </c>
      <c r="F25" s="17" t="s">
        <v>184</v>
      </c>
      <c r="G25" s="16" t="s">
        <v>181</v>
      </c>
      <c r="H25" s="16" t="s">
        <v>181</v>
      </c>
      <c r="I25" s="17" t="s">
        <v>183</v>
      </c>
      <c r="J25" s="18"/>
      <c r="K25" s="16" t="s">
        <v>181</v>
      </c>
      <c r="L25" s="16" t="s">
        <v>182</v>
      </c>
      <c r="M25" s="16" t="s">
        <v>180</v>
      </c>
      <c r="N25" s="16" t="s">
        <v>182</v>
      </c>
      <c r="O25" s="16" t="s">
        <v>180</v>
      </c>
      <c r="P25" s="16" t="s">
        <v>180</v>
      </c>
      <c r="Q25" s="16" t="s">
        <v>180</v>
      </c>
      <c r="R25" s="16" t="s">
        <v>178</v>
      </c>
      <c r="S25" s="18"/>
      <c r="T25" s="16" t="s">
        <v>181</v>
      </c>
      <c r="U25" s="16" t="s">
        <v>178</v>
      </c>
      <c r="V25" s="18"/>
      <c r="W25" s="16" t="s">
        <v>180</v>
      </c>
      <c r="X25" s="16" t="s">
        <v>182</v>
      </c>
      <c r="Y25" s="18"/>
      <c r="Z25" s="16" t="s">
        <v>180</v>
      </c>
      <c r="AA25" s="16" t="s">
        <v>181</v>
      </c>
      <c r="AB25" s="16" t="s">
        <v>178</v>
      </c>
      <c r="AC25" s="16" t="s">
        <v>180</v>
      </c>
      <c r="AD25" s="17" t="s">
        <v>184</v>
      </c>
      <c r="AE25" s="16" t="s">
        <v>178</v>
      </c>
      <c r="AF25" s="17" t="s">
        <v>184</v>
      </c>
      <c r="AG25" s="16" t="s">
        <v>181</v>
      </c>
      <c r="AH25" s="17" t="s">
        <v>184</v>
      </c>
      <c r="AI25" s="16" t="s">
        <v>181</v>
      </c>
      <c r="AJ25" s="16" t="s">
        <v>181</v>
      </c>
      <c r="AK25" s="16" t="s">
        <v>180</v>
      </c>
      <c r="AL25" s="18"/>
      <c r="AM25" s="16" t="s">
        <v>181</v>
      </c>
      <c r="AN25" s="18"/>
      <c r="AO25" s="17" t="s">
        <v>183</v>
      </c>
      <c r="AP25" s="16" t="s">
        <v>180</v>
      </c>
      <c r="AQ25" s="16" t="s">
        <v>181</v>
      </c>
      <c r="AR25" s="16" t="s">
        <v>182</v>
      </c>
      <c r="AS25" s="16" t="s">
        <v>180</v>
      </c>
      <c r="AT25" s="16" t="s">
        <v>178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181</v>
      </c>
      <c r="BL25" s="16" t="s">
        <v>180</v>
      </c>
      <c r="BM25" s="16" t="s">
        <v>180</v>
      </c>
      <c r="BN25" s="16" t="s">
        <v>181</v>
      </c>
      <c r="BO25" s="16" t="s">
        <v>181</v>
      </c>
      <c r="BP25" s="16" t="s">
        <v>181</v>
      </c>
      <c r="BQ25" s="16" t="s">
        <v>178</v>
      </c>
      <c r="BR25" s="16" t="s">
        <v>178</v>
      </c>
      <c r="BS25" s="16" t="s">
        <v>178</v>
      </c>
      <c r="BT25" s="16" t="s">
        <v>181</v>
      </c>
      <c r="BU25" s="16" t="s">
        <v>181</v>
      </c>
      <c r="BV25" s="16" t="s">
        <v>182</v>
      </c>
      <c r="BW25" s="16" t="s">
        <v>181</v>
      </c>
      <c r="BX25" s="18"/>
      <c r="BY25" s="18"/>
      <c r="BZ25" s="17" t="s">
        <v>184</v>
      </c>
    </row>
    <row r="26" spans="1:78">
      <c r="A26" s="15" t="s">
        <v>81</v>
      </c>
      <c r="B26" s="15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2025-12-05T12:22:33Z</dcterms:modified>
</cp:coreProperties>
</file>